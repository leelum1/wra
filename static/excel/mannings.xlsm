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m1679\Documents\Python\kevanleelum\static\excel\"/>
    </mc:Choice>
  </mc:AlternateContent>
  <bookViews>
    <workbookView xWindow="0" yWindow="0" windowWidth="21600" windowHeight="9735" activeTab="1"/>
  </bookViews>
  <sheets>
    <sheet name="Cross Section " sheetId="3" r:id="rId1"/>
    <sheet name="Manning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1" l="1"/>
  <c r="J11" i="3"/>
  <c r="N26" i="1" l="1"/>
</calcChain>
</file>

<file path=xl/sharedStrings.xml><?xml version="1.0" encoding="utf-8"?>
<sst xmlns="http://schemas.openxmlformats.org/spreadsheetml/2006/main" count="116" uniqueCount="100">
  <si>
    <t>R = A/P</t>
  </si>
  <si>
    <t xml:space="preserve">Channel conditions                  </t>
  </si>
  <si>
    <t>Values</t>
  </si>
  <si>
    <t>Earth</t>
  </si>
  <si>
    <t>Material</t>
  </si>
  <si>
    <t>Rock cut</t>
  </si>
  <si>
    <t>Fine gravel</t>
  </si>
  <si>
    <t>Coarse gravel</t>
  </si>
  <si>
    <t>Smooth</t>
  </si>
  <si>
    <t>Minor</t>
  </si>
  <si>
    <t>0. 005</t>
  </si>
  <si>
    <t>Moderate</t>
  </si>
  <si>
    <t>Severe</t>
  </si>
  <si>
    <t>Alternating occasionally</t>
  </si>
  <si>
    <t>Alternating frequently</t>
  </si>
  <si>
    <t>0.010 - 0.015</t>
  </si>
  <si>
    <t xml:space="preserve">Negligible                                           </t>
  </si>
  <si>
    <t xml:space="preserve">Minor                                                   </t>
  </si>
  <si>
    <t>Appreciable</t>
  </si>
  <si>
    <t>0.020 - 0.030</t>
  </si>
  <si>
    <t xml:space="preserve">Severe                                  </t>
  </si>
  <si>
    <t>0.040 - 0.060</t>
  </si>
  <si>
    <t xml:space="preserve">Low                                                      </t>
  </si>
  <si>
    <t>0.005 - 0.010</t>
  </si>
  <si>
    <t>Medium</t>
  </si>
  <si>
    <t>0.010 - 0.025</t>
  </si>
  <si>
    <t>Vegetation</t>
  </si>
  <si>
    <t>High</t>
  </si>
  <si>
    <t>0.025 - 0.050</t>
  </si>
  <si>
    <t>Very high</t>
  </si>
  <si>
    <t>0.050 - 0.100</t>
  </si>
  <si>
    <t xml:space="preserve">Minor      </t>
  </si>
  <si>
    <t>1. 150</t>
  </si>
  <si>
    <t>Distance</t>
  </si>
  <si>
    <t>Elevation</t>
  </si>
  <si>
    <t>Degree of irregularity</t>
  </si>
  <si>
    <t>Variations of channel cross section</t>
  </si>
  <si>
    <t>Relative effect of obstructions</t>
  </si>
  <si>
    <t>Degree of meandering</t>
  </si>
  <si>
    <t>Gradual</t>
  </si>
  <si>
    <t>Roughness</t>
  </si>
  <si>
    <t>N</t>
  </si>
  <si>
    <t>Slope</t>
  </si>
  <si>
    <t>N = (n0+n1+n2+n3+n4)m5</t>
  </si>
  <si>
    <t>Reduced Level</t>
  </si>
  <si>
    <t>Instructions</t>
  </si>
  <si>
    <t>Notes</t>
  </si>
  <si>
    <t>1. Measurements and calculations should be and are in metric units</t>
  </si>
  <si>
    <t>2. Stage cannot be greater than reduced level</t>
  </si>
  <si>
    <t>3. One distance cannot have more than one reduced level</t>
  </si>
  <si>
    <t>Formula</t>
  </si>
  <si>
    <t>Water's Edge</t>
  </si>
  <si>
    <t>4. It is assumed that the slope of the river bed is equal to the slope of the channel</t>
  </si>
  <si>
    <t>Distance (m)</t>
  </si>
  <si>
    <t>Discharge (cumecs)</t>
  </si>
  <si>
    <t>Stage (m)</t>
  </si>
  <si>
    <t>Perimeter (m)</t>
  </si>
  <si>
    <t>Hydraulic Radius (m)</t>
  </si>
  <si>
    <t>Ortoire</t>
  </si>
  <si>
    <t>Backsight</t>
  </si>
  <si>
    <t>Intermediate</t>
  </si>
  <si>
    <t>Foresight</t>
  </si>
  <si>
    <t>Collimation</t>
  </si>
  <si>
    <t>Remarks</t>
  </si>
  <si>
    <t>Top of wingwall</t>
  </si>
  <si>
    <t>Bottom of wingwall</t>
  </si>
  <si>
    <t>Collimation (height of instrument above MSL)</t>
  </si>
  <si>
    <t>Known point (bench mark) + Backsight</t>
  </si>
  <si>
    <t>Turning point</t>
  </si>
  <si>
    <t>Collimation - Intermediate</t>
  </si>
  <si>
    <t>Turning Point Reduced Level</t>
  </si>
  <si>
    <t>Collimation - foresight</t>
  </si>
  <si>
    <t>New Collimation</t>
  </si>
  <si>
    <t>Reduced level + Backsight</t>
  </si>
  <si>
    <t>Turning Point</t>
  </si>
  <si>
    <t>Return to Benchmark</t>
  </si>
  <si>
    <r>
      <t>Area (m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</si>
  <si>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n</t>
    </r>
    <r>
      <rPr>
        <vertAlign val="subscript"/>
        <sz val="10"/>
        <rFont val="Arial"/>
        <family val="2"/>
      </rPr>
      <t>0</t>
    </r>
  </si>
  <si>
    <r>
      <t>n</t>
    </r>
    <r>
      <rPr>
        <vertAlign val="subscript"/>
        <sz val="10"/>
        <rFont val="Arial"/>
        <family val="2"/>
      </rPr>
      <t>1</t>
    </r>
  </si>
  <si>
    <r>
      <t>n</t>
    </r>
    <r>
      <rPr>
        <vertAlign val="subscript"/>
        <sz val="10"/>
        <color theme="1"/>
        <rFont val="Arial"/>
        <family val="2"/>
      </rPr>
      <t>0</t>
    </r>
  </si>
  <si>
    <r>
      <t>n</t>
    </r>
    <r>
      <rPr>
        <vertAlign val="subscript"/>
        <sz val="10"/>
        <color theme="1"/>
        <rFont val="Arial"/>
        <family val="2"/>
      </rPr>
      <t>1</t>
    </r>
  </si>
  <si>
    <r>
      <t>n</t>
    </r>
    <r>
      <rPr>
        <vertAlign val="subscript"/>
        <sz val="10"/>
        <rFont val="Arial"/>
        <family val="2"/>
      </rPr>
      <t>2</t>
    </r>
  </si>
  <si>
    <r>
      <t>n</t>
    </r>
    <r>
      <rPr>
        <vertAlign val="subscript"/>
        <sz val="10"/>
        <color theme="1"/>
        <rFont val="Arial"/>
        <family val="2"/>
      </rPr>
      <t>2</t>
    </r>
  </si>
  <si>
    <r>
      <t>n</t>
    </r>
    <r>
      <rPr>
        <vertAlign val="subscript"/>
        <sz val="10"/>
        <color theme="1"/>
        <rFont val="Arial"/>
        <family val="2"/>
      </rPr>
      <t>3</t>
    </r>
  </si>
  <si>
    <r>
      <t>n</t>
    </r>
    <r>
      <rPr>
        <vertAlign val="subscript"/>
        <sz val="10"/>
        <color theme="1"/>
        <rFont val="Arial"/>
        <family val="2"/>
      </rPr>
      <t>4</t>
    </r>
  </si>
  <si>
    <r>
      <t xml:space="preserve"> n</t>
    </r>
    <r>
      <rPr>
        <vertAlign val="subscript"/>
        <sz val="10"/>
        <rFont val="Arial"/>
        <family val="2"/>
      </rPr>
      <t xml:space="preserve">3  </t>
    </r>
    <r>
      <rPr>
        <sz val="10"/>
        <rFont val="Arial"/>
        <family val="2"/>
      </rPr>
      <t xml:space="preserve">          </t>
    </r>
  </si>
  <si>
    <r>
      <t>m</t>
    </r>
    <r>
      <rPr>
        <vertAlign val="subscript"/>
        <sz val="10"/>
        <color theme="1"/>
        <rFont val="Arial"/>
        <family val="2"/>
      </rPr>
      <t>5</t>
    </r>
  </si>
  <si>
    <r>
      <t>n</t>
    </r>
    <r>
      <rPr>
        <vertAlign val="subscript"/>
        <sz val="10"/>
        <rFont val="Arial"/>
        <family val="2"/>
      </rPr>
      <t>4</t>
    </r>
  </si>
  <si>
    <r>
      <t>m</t>
    </r>
    <r>
      <rPr>
        <vertAlign val="subscript"/>
        <sz val="10"/>
        <rFont val="Arial"/>
        <family val="2"/>
      </rPr>
      <t xml:space="preserve">5 </t>
    </r>
    <r>
      <rPr>
        <sz val="10"/>
        <rFont val="Arial"/>
        <family val="2"/>
      </rPr>
      <t xml:space="preserve">  </t>
    </r>
  </si>
  <si>
    <r>
      <t>Q= (A/n)R</t>
    </r>
    <r>
      <rPr>
        <vertAlign val="superscript"/>
        <sz val="10"/>
        <rFont val="Arial"/>
        <family val="2"/>
      </rPr>
      <t>2/3</t>
    </r>
    <r>
      <rPr>
        <sz val="10"/>
        <rFont val="Arial"/>
        <family val="2"/>
      </rPr>
      <t>S</t>
    </r>
    <r>
      <rPr>
        <vertAlign val="superscript"/>
        <sz val="10"/>
        <rFont val="Arial"/>
        <family val="2"/>
      </rPr>
      <t>1/2</t>
    </r>
  </si>
  <si>
    <t>Final</t>
  </si>
  <si>
    <t>Input Backsight, Intermediate, Forsight, and Distances as in the level book</t>
  </si>
  <si>
    <t>Input the benchmark or assumed benchmark in cell E2</t>
  </si>
  <si>
    <t>Press button to calculate reduced levels</t>
  </si>
  <si>
    <t>Input slope info</t>
  </si>
  <si>
    <t>Do not put any extra data in columns</t>
  </si>
  <si>
    <t>Enter desired stage in stage column</t>
  </si>
  <si>
    <t xml:space="preserve">Press "Click Here to Compute Discharge" </t>
  </si>
  <si>
    <t xml:space="preserve">Select roughness channel conditions from table </t>
  </si>
  <si>
    <t>No distances can be the 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</si>
</sst>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"/>
    <numFmt numFmtId="167" formatCode="[$-409]d\-mmm\-yy;@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name val="Arial"/>
      <family val="2"/>
    </font>
    <font>
      <vertAlign val="subscript"/>
      <sz val="10"/>
      <color theme="1"/>
      <name val="Arial"/>
      <family val="2"/>
    </font>
    <font>
      <vertAlign val="superscript"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3">
    <xf numFmtId="0" fontId="0" fillId="0" borderId="0" xfId="0"/>
    <xf numFmtId="0" fontId="4" fillId="0" borderId="0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2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1" fillId="0" borderId="2" xfId="1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164" fontId="1" fillId="2" borderId="2" xfId="1" applyNumberFormat="1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 vertical="center"/>
    </xf>
    <xf numFmtId="164" fontId="1" fillId="0" borderId="2" xfId="1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 vertical="center"/>
    </xf>
    <xf numFmtId="0" fontId="6" fillId="0" borderId="8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1" fillId="0" borderId="9" xfId="1" applyFont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" fillId="0" borderId="0" xfId="1" applyFont="1" applyBorder="1" applyAlignment="1">
      <alignment horizontal="left"/>
    </xf>
    <xf numFmtId="0" fontId="6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5" fontId="6" fillId="2" borderId="12" xfId="0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wrapText="1"/>
    </xf>
    <xf numFmtId="0" fontId="6" fillId="0" borderId="13" xfId="0" applyFont="1" applyFill="1" applyBorder="1" applyAlignment="1">
      <alignment vertical="center" wrapText="1"/>
    </xf>
    <xf numFmtId="165" fontId="6" fillId="0" borderId="0" xfId="0" applyNumberFormat="1" applyFont="1" applyFill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6" fontId="4" fillId="0" borderId="2" xfId="0" applyNumberFormat="1" applyFont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6" fontId="1" fillId="0" borderId="0" xfId="1" applyNumberFormat="1" applyFont="1" applyFill="1" applyBorder="1" applyAlignment="1">
      <alignment horizontal="center" vertical="center"/>
    </xf>
    <xf numFmtId="164" fontId="1" fillId="0" borderId="0" xfId="1" applyNumberFormat="1" applyFont="1" applyFill="1" applyBorder="1" applyAlignment="1">
      <alignment horizontal="center" vertical="center"/>
    </xf>
    <xf numFmtId="166" fontId="3" fillId="0" borderId="2" xfId="1" applyNumberFormat="1" applyFont="1" applyFill="1" applyBorder="1" applyAlignment="1">
      <alignment horizontal="center" vertical="center" wrapText="1"/>
    </xf>
    <xf numFmtId="164" fontId="3" fillId="0" borderId="2" xfId="1" applyNumberFormat="1" applyFont="1" applyFill="1" applyBorder="1" applyAlignment="1">
      <alignment horizontal="center" vertical="center" wrapText="1"/>
    </xf>
    <xf numFmtId="166" fontId="6" fillId="0" borderId="0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4" fillId="0" borderId="2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2" xfId="1" applyFont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2" fontId="4" fillId="0" borderId="11" xfId="0" applyNumberFormat="1" applyFon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7" fontId="6" fillId="0" borderId="2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1" fillId="0" borderId="10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Ortoire</a:t>
            </a:r>
            <a:r>
              <a:rPr lang="en-GB" baseline="0"/>
              <a:t> </a:t>
            </a:r>
            <a:r>
              <a:rPr lang="en-GB"/>
              <a:t>Rating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Mannings!$K$2:$K$16</c:f>
              <c:numCache>
                <c:formatCode>0.000</c:formatCode>
                <c:ptCount val="15"/>
              </c:numCache>
            </c:numRef>
          </c:xVal>
          <c:yVal>
            <c:numRef>
              <c:f>Mannings!$D$2:$D$16</c:f>
              <c:numCache>
                <c:formatCode>0.00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59120"/>
        <c:axId val="275459512"/>
      </c:scatterChart>
      <c:valAx>
        <c:axId val="27545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 (cumecs)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459512"/>
        <c:crosses val="autoZero"/>
        <c:crossBetween val="midCat"/>
      </c:valAx>
      <c:valAx>
        <c:axId val="27545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Stage 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45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Ortoire Cross Section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Mannings!$A$2:$A$33</c:f>
              <c:numCache>
                <c:formatCode>0.0</c:formatCode>
                <c:ptCount val="32"/>
                <c:pt idx="0">
                  <c:v>0</c:v>
                </c:pt>
                <c:pt idx="1">
                  <c:v>0.5</c:v>
                </c:pt>
                <c:pt idx="2">
                  <c:v>1.1200000000000001</c:v>
                </c:pt>
                <c:pt idx="3">
                  <c:v>1.58</c:v>
                </c:pt>
                <c:pt idx="4">
                  <c:v>2.08</c:v>
                </c:pt>
                <c:pt idx="5">
                  <c:v>2.78</c:v>
                </c:pt>
                <c:pt idx="6">
                  <c:v>4.26</c:v>
                </c:pt>
                <c:pt idx="7">
                  <c:v>5.36</c:v>
                </c:pt>
                <c:pt idx="8">
                  <c:v>5.86</c:v>
                </c:pt>
                <c:pt idx="9">
                  <c:v>21</c:v>
                </c:pt>
                <c:pt idx="10">
                  <c:v>24.86</c:v>
                </c:pt>
              </c:numCache>
            </c:numRef>
          </c:xVal>
          <c:yVal>
            <c:numRef>
              <c:f>Mannings!$B$2:$B$33</c:f>
              <c:numCache>
                <c:formatCode>0.000</c:formatCode>
                <c:ptCount val="32"/>
                <c:pt idx="0">
                  <c:v>99.965000000000003</c:v>
                </c:pt>
                <c:pt idx="1">
                  <c:v>96.674999999999997</c:v>
                </c:pt>
                <c:pt idx="2">
                  <c:v>96.85</c:v>
                </c:pt>
                <c:pt idx="3">
                  <c:v>97.025000000000006</c:v>
                </c:pt>
                <c:pt idx="4">
                  <c:v>97.17</c:v>
                </c:pt>
                <c:pt idx="5">
                  <c:v>97.29</c:v>
                </c:pt>
                <c:pt idx="6">
                  <c:v>97.44</c:v>
                </c:pt>
                <c:pt idx="7">
                  <c:v>97.54</c:v>
                </c:pt>
                <c:pt idx="8">
                  <c:v>98.09</c:v>
                </c:pt>
                <c:pt idx="9">
                  <c:v>98.09</c:v>
                </c:pt>
                <c:pt idx="10">
                  <c:v>100.1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60296"/>
        <c:axId val="275460688"/>
      </c:scatterChart>
      <c:valAx>
        <c:axId val="27546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460688"/>
        <c:crosses val="autoZero"/>
        <c:crossBetween val="midCat"/>
      </c:valAx>
      <c:valAx>
        <c:axId val="2754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Reduced Level(m)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46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10</xdr:col>
          <xdr:colOff>9525</xdr:colOff>
          <xdr:row>22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Reduced Levels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9525</xdr:rowOff>
        </xdr:from>
        <xdr:to>
          <xdr:col>14</xdr:col>
          <xdr:colOff>9525</xdr:colOff>
          <xdr:row>14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to Compute Discharge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</xdr:colOff>
      <xdr:row>35</xdr:row>
      <xdr:rowOff>4761</xdr:rowOff>
    </xdr:from>
    <xdr:to>
      <xdr:col>10</xdr:col>
      <xdr:colOff>874395</xdr:colOff>
      <xdr:row>53</xdr:row>
      <xdr:rowOff>50481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17</xdr:row>
      <xdr:rowOff>9525</xdr:rowOff>
    </xdr:from>
    <xdr:to>
      <xdr:col>10</xdr:col>
      <xdr:colOff>874395</xdr:colOff>
      <xdr:row>34</xdr:row>
      <xdr:rowOff>26670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39"/>
  <sheetViews>
    <sheetView workbookViewId="0"/>
  </sheetViews>
  <sheetFormatPr defaultColWidth="15.42578125" defaultRowHeight="12.75" x14ac:dyDescent="0.25"/>
  <cols>
    <col min="1" max="4" width="14.7109375" style="27" customWidth="1"/>
    <col min="5" max="5" width="14.7109375" style="55" customWidth="1"/>
    <col min="6" max="6" width="14.7109375" style="58" customWidth="1"/>
    <col min="7" max="7" width="18.7109375" style="47" customWidth="1"/>
    <col min="8" max="16384" width="15.42578125" style="27"/>
  </cols>
  <sheetData>
    <row r="1" spans="1:14" s="29" customFormat="1" x14ac:dyDescent="0.25">
      <c r="A1" s="28" t="s">
        <v>59</v>
      </c>
      <c r="B1" s="28" t="s">
        <v>60</v>
      </c>
      <c r="C1" s="28" t="s">
        <v>61</v>
      </c>
      <c r="D1" s="28" t="s">
        <v>62</v>
      </c>
      <c r="E1" s="53" t="s">
        <v>44</v>
      </c>
      <c r="F1" s="56" t="s">
        <v>33</v>
      </c>
      <c r="G1" s="28" t="s">
        <v>63</v>
      </c>
      <c r="I1" s="69" t="s">
        <v>58</v>
      </c>
      <c r="J1" s="69"/>
    </row>
    <row r="2" spans="1:14" x14ac:dyDescent="0.25">
      <c r="A2" s="30">
        <v>0.44800000000000001</v>
      </c>
      <c r="B2" s="30"/>
      <c r="C2" s="30"/>
      <c r="D2" s="30">
        <v>47.018999999999998</v>
      </c>
      <c r="E2" s="54">
        <v>46.570999999999998</v>
      </c>
      <c r="F2" s="57"/>
      <c r="G2" s="31"/>
      <c r="I2" s="69"/>
      <c r="J2" s="69"/>
    </row>
    <row r="3" spans="1:14" x14ac:dyDescent="0.25">
      <c r="A3" s="30"/>
      <c r="B3" s="30">
        <v>0.73499999999999999</v>
      </c>
      <c r="C3" s="30"/>
      <c r="D3" s="30"/>
      <c r="E3" s="54">
        <v>46.283999999999999</v>
      </c>
      <c r="F3" s="57">
        <v>0</v>
      </c>
      <c r="G3" s="31"/>
      <c r="I3" s="69"/>
      <c r="J3" s="69"/>
      <c r="K3" s="29"/>
      <c r="L3" s="29"/>
      <c r="M3" s="29"/>
      <c r="N3" s="29"/>
    </row>
    <row r="4" spans="1:14" x14ac:dyDescent="0.25">
      <c r="A4" s="30"/>
      <c r="B4" s="30">
        <v>0.745</v>
      </c>
      <c r="C4" s="30"/>
      <c r="D4" s="30"/>
      <c r="E4" s="54">
        <v>46.274000000000001</v>
      </c>
      <c r="F4" s="57">
        <v>3</v>
      </c>
      <c r="G4" s="31"/>
      <c r="I4" s="69"/>
      <c r="J4" s="69"/>
    </row>
    <row r="5" spans="1:14" x14ac:dyDescent="0.25">
      <c r="A5" s="30"/>
      <c r="B5" s="30">
        <v>0.88700000000000001</v>
      </c>
      <c r="C5" s="30"/>
      <c r="D5" s="30"/>
      <c r="E5" s="54">
        <v>46.131999999999998</v>
      </c>
      <c r="F5" s="57">
        <v>5</v>
      </c>
      <c r="G5" s="31"/>
    </row>
    <row r="6" spans="1:14" x14ac:dyDescent="0.25">
      <c r="A6" s="30"/>
      <c r="B6" s="30">
        <v>1.1180000000000001</v>
      </c>
      <c r="C6" s="30"/>
      <c r="D6" s="30"/>
      <c r="E6" s="54">
        <v>45.900999999999996</v>
      </c>
      <c r="F6" s="57">
        <v>6.5</v>
      </c>
      <c r="G6" s="31" t="s">
        <v>64</v>
      </c>
    </row>
    <row r="7" spans="1:14" x14ac:dyDescent="0.25">
      <c r="A7" s="30"/>
      <c r="B7" s="30">
        <v>2.2229999999999999</v>
      </c>
      <c r="C7" s="30"/>
      <c r="D7" s="30"/>
      <c r="E7" s="54">
        <v>44.795999999999999</v>
      </c>
      <c r="F7" s="57">
        <v>6.7</v>
      </c>
      <c r="G7" s="31" t="s">
        <v>65</v>
      </c>
      <c r="I7" s="68" t="s">
        <v>42</v>
      </c>
      <c r="J7" s="68"/>
    </row>
    <row r="8" spans="1:14" x14ac:dyDescent="0.25">
      <c r="A8" s="30"/>
      <c r="B8" s="30">
        <v>2.8</v>
      </c>
      <c r="C8" s="30"/>
      <c r="D8" s="30"/>
      <c r="E8" s="54">
        <v>44.219000000000001</v>
      </c>
      <c r="F8" s="57">
        <v>9.6999999999999993</v>
      </c>
      <c r="G8" s="31"/>
      <c r="I8" s="8" t="s">
        <v>33</v>
      </c>
      <c r="J8" s="8" t="s">
        <v>34</v>
      </c>
    </row>
    <row r="9" spans="1:14" x14ac:dyDescent="0.25">
      <c r="A9" s="30"/>
      <c r="B9" s="30">
        <v>3.3029999999999999</v>
      </c>
      <c r="C9" s="30"/>
      <c r="D9" s="30"/>
      <c r="E9" s="54">
        <v>43.716000000000001</v>
      </c>
      <c r="F9" s="57">
        <v>10.7</v>
      </c>
      <c r="G9" s="31"/>
      <c r="I9" s="8">
        <v>0</v>
      </c>
      <c r="J9" s="30">
        <v>2.0499999999999998</v>
      </c>
    </row>
    <row r="10" spans="1:14" x14ac:dyDescent="0.25">
      <c r="A10" s="30"/>
      <c r="B10" s="30">
        <v>3.9580000000000002</v>
      </c>
      <c r="C10" s="30"/>
      <c r="D10" s="30"/>
      <c r="E10" s="54">
        <v>43.061</v>
      </c>
      <c r="F10" s="57">
        <v>12.2</v>
      </c>
      <c r="G10" s="31"/>
      <c r="I10" s="49">
        <v>50</v>
      </c>
      <c r="J10" s="30">
        <v>2.17</v>
      </c>
    </row>
    <row r="11" spans="1:14" x14ac:dyDescent="0.25">
      <c r="A11" s="30"/>
      <c r="B11" s="30">
        <v>4.5819999999999999</v>
      </c>
      <c r="C11" s="30"/>
      <c r="D11" s="30"/>
      <c r="E11" s="54">
        <v>42.436999999999998</v>
      </c>
      <c r="F11" s="57">
        <v>13.7</v>
      </c>
      <c r="G11" s="31"/>
      <c r="I11" s="28" t="s">
        <v>90</v>
      </c>
      <c r="J11" s="48">
        <f>(J10-J9)/(I10-I9)</f>
        <v>2.400000000000002E-3</v>
      </c>
      <c r="K11" s="32"/>
      <c r="L11" s="32"/>
    </row>
    <row r="12" spans="1:14" ht="13.5" thickBot="1" x14ac:dyDescent="0.3">
      <c r="A12" s="30">
        <v>1.218</v>
      </c>
      <c r="B12" s="30"/>
      <c r="C12" s="30">
        <v>4.8250000000000002</v>
      </c>
      <c r="D12" s="30">
        <v>43.411999999999992</v>
      </c>
      <c r="E12" s="54">
        <v>42.193999999999988</v>
      </c>
      <c r="F12" s="57">
        <v>14.7</v>
      </c>
      <c r="G12" s="31" t="s">
        <v>68</v>
      </c>
    </row>
    <row r="13" spans="1:14" x14ac:dyDescent="0.25">
      <c r="A13" s="30"/>
      <c r="B13" s="30">
        <v>2.052</v>
      </c>
      <c r="C13" s="30"/>
      <c r="D13" s="30"/>
      <c r="E13" s="54">
        <v>41.359999999999992</v>
      </c>
      <c r="F13" s="57">
        <v>15.2</v>
      </c>
      <c r="G13" s="31" t="s">
        <v>51</v>
      </c>
      <c r="I13" s="33" t="s">
        <v>66</v>
      </c>
      <c r="J13" s="34"/>
      <c r="K13" s="34"/>
      <c r="L13" s="34" t="s">
        <v>67</v>
      </c>
      <c r="M13" s="35"/>
      <c r="N13" s="36"/>
    </row>
    <row r="14" spans="1:14" x14ac:dyDescent="0.25">
      <c r="A14" s="30"/>
      <c r="B14" s="30">
        <v>2.3450000000000002</v>
      </c>
      <c r="C14" s="30"/>
      <c r="D14" s="30"/>
      <c r="E14" s="54">
        <v>41.066999999999993</v>
      </c>
      <c r="F14" s="57">
        <v>16.2</v>
      </c>
      <c r="G14" s="31"/>
      <c r="I14" s="37" t="s">
        <v>44</v>
      </c>
      <c r="J14" s="38"/>
      <c r="K14" s="38"/>
      <c r="L14" s="38" t="s">
        <v>69</v>
      </c>
      <c r="M14" s="39"/>
      <c r="N14" s="40"/>
    </row>
    <row r="15" spans="1:14" x14ac:dyDescent="0.25">
      <c r="A15" s="30"/>
      <c r="B15" s="30">
        <v>2.8410000000000002</v>
      </c>
      <c r="C15" s="30"/>
      <c r="D15" s="30"/>
      <c r="E15" s="54">
        <v>40.570999999999991</v>
      </c>
      <c r="F15" s="57">
        <v>17.2</v>
      </c>
      <c r="G15" s="31"/>
      <c r="I15" s="41" t="s">
        <v>70</v>
      </c>
      <c r="J15" s="42"/>
      <c r="K15" s="42"/>
      <c r="L15" s="42" t="s">
        <v>71</v>
      </c>
      <c r="M15" s="39"/>
      <c r="N15" s="40"/>
    </row>
    <row r="16" spans="1:14" ht="13.5" thickBot="1" x14ac:dyDescent="0.3">
      <c r="A16" s="30"/>
      <c r="B16" s="30">
        <v>2.7250000000000001</v>
      </c>
      <c r="C16" s="30"/>
      <c r="D16" s="30"/>
      <c r="E16" s="54">
        <v>40.686999999999991</v>
      </c>
      <c r="F16" s="57">
        <v>18.2</v>
      </c>
      <c r="G16" s="31"/>
      <c r="I16" s="43" t="s">
        <v>72</v>
      </c>
      <c r="J16" s="44"/>
      <c r="K16" s="44"/>
      <c r="L16" s="44" t="s">
        <v>73</v>
      </c>
      <c r="M16" s="45"/>
      <c r="N16" s="46"/>
    </row>
    <row r="17" spans="1:10" x14ac:dyDescent="0.25">
      <c r="A17" s="30"/>
      <c r="B17" s="30">
        <v>2.5379999999999998</v>
      </c>
      <c r="C17" s="30"/>
      <c r="D17" s="30"/>
      <c r="E17" s="54">
        <v>40.873999999999995</v>
      </c>
      <c r="F17" s="57">
        <v>19</v>
      </c>
      <c r="G17" s="31"/>
    </row>
    <row r="18" spans="1:10" x14ac:dyDescent="0.25">
      <c r="A18" s="30"/>
      <c r="B18" s="30">
        <v>2.1779999999999999</v>
      </c>
      <c r="C18" s="30"/>
      <c r="D18" s="30"/>
      <c r="E18" s="54">
        <v>41.233999999999995</v>
      </c>
      <c r="F18" s="57">
        <v>19.5</v>
      </c>
      <c r="G18" s="31"/>
    </row>
    <row r="19" spans="1:10" x14ac:dyDescent="0.25">
      <c r="A19" s="30"/>
      <c r="B19" s="30">
        <v>2.2149999999999999</v>
      </c>
      <c r="C19" s="30"/>
      <c r="D19" s="30"/>
      <c r="E19" s="54">
        <v>41.196999999999989</v>
      </c>
      <c r="F19" s="57">
        <v>20.5</v>
      </c>
      <c r="G19" s="31"/>
    </row>
    <row r="20" spans="1:10" x14ac:dyDescent="0.25">
      <c r="A20" s="30"/>
      <c r="B20" s="30">
        <v>2.0499999999999998</v>
      </c>
      <c r="C20" s="30"/>
      <c r="D20" s="30"/>
      <c r="E20" s="54">
        <v>41.361999999999995</v>
      </c>
      <c r="F20" s="57">
        <v>21</v>
      </c>
      <c r="G20" s="31" t="s">
        <v>51</v>
      </c>
    </row>
    <row r="21" spans="1:10" x14ac:dyDescent="0.25">
      <c r="A21" s="30"/>
      <c r="B21" s="30">
        <v>1.921</v>
      </c>
      <c r="C21" s="30"/>
      <c r="D21" s="30"/>
      <c r="E21" s="54">
        <v>41.490999999999993</v>
      </c>
      <c r="F21" s="57">
        <v>22</v>
      </c>
      <c r="G21" s="31"/>
    </row>
    <row r="22" spans="1:10" x14ac:dyDescent="0.25">
      <c r="A22" s="30"/>
      <c r="B22" s="30">
        <v>1.702</v>
      </c>
      <c r="C22" s="30"/>
      <c r="D22" s="30"/>
      <c r="E22" s="54">
        <v>41.709999999999994</v>
      </c>
      <c r="F22" s="57">
        <v>22.8</v>
      </c>
      <c r="G22" s="31"/>
    </row>
    <row r="23" spans="1:10" x14ac:dyDescent="0.25">
      <c r="A23" s="30"/>
      <c r="B23" s="30">
        <v>0.8</v>
      </c>
      <c r="C23" s="30"/>
      <c r="D23" s="30"/>
      <c r="E23" s="54">
        <v>42.611999999999995</v>
      </c>
      <c r="F23" s="57">
        <v>23.8</v>
      </c>
      <c r="G23" s="31"/>
    </row>
    <row r="24" spans="1:10" x14ac:dyDescent="0.25">
      <c r="A24" s="30"/>
      <c r="B24" s="30">
        <v>0.51500000000000001</v>
      </c>
      <c r="C24" s="30"/>
      <c r="D24" s="30"/>
      <c r="E24" s="54">
        <v>42.896999999999991</v>
      </c>
      <c r="F24" s="57">
        <v>24.8</v>
      </c>
      <c r="G24" s="31"/>
      <c r="I24" s="67" t="s">
        <v>45</v>
      </c>
      <c r="J24" s="67"/>
    </row>
    <row r="25" spans="1:10" x14ac:dyDescent="0.25">
      <c r="A25" s="30">
        <v>4.32</v>
      </c>
      <c r="B25" s="30"/>
      <c r="C25" s="30">
        <v>0.47499999999999998</v>
      </c>
      <c r="D25" s="30">
        <v>47.256999999999991</v>
      </c>
      <c r="E25" s="54">
        <v>42.936999999999991</v>
      </c>
      <c r="F25" s="57">
        <v>26.3</v>
      </c>
      <c r="G25" s="31" t="s">
        <v>74</v>
      </c>
      <c r="I25" s="47" t="s">
        <v>91</v>
      </c>
    </row>
    <row r="26" spans="1:10" x14ac:dyDescent="0.25">
      <c r="A26" s="30"/>
      <c r="B26" s="30">
        <v>3.9380000000000002</v>
      </c>
      <c r="C26" s="30"/>
      <c r="D26" s="30"/>
      <c r="E26" s="54">
        <v>43.318999999999988</v>
      </c>
      <c r="F26" s="57">
        <v>26.8</v>
      </c>
      <c r="G26" s="31"/>
      <c r="I26" s="47" t="s">
        <v>92</v>
      </c>
    </row>
    <row r="27" spans="1:10" x14ac:dyDescent="0.25">
      <c r="A27" s="30"/>
      <c r="B27" s="30">
        <v>3.5449999999999999</v>
      </c>
      <c r="C27" s="30"/>
      <c r="D27" s="30"/>
      <c r="E27" s="54">
        <v>43.711999999999989</v>
      </c>
      <c r="F27" s="57">
        <v>27.3</v>
      </c>
      <c r="G27" s="31"/>
      <c r="I27" s="47" t="s">
        <v>93</v>
      </c>
    </row>
    <row r="28" spans="1:10" x14ac:dyDescent="0.25">
      <c r="A28" s="30"/>
      <c r="B28" s="30">
        <v>3.302</v>
      </c>
      <c r="C28" s="30"/>
      <c r="D28" s="30"/>
      <c r="E28" s="54">
        <v>43.954999999999991</v>
      </c>
      <c r="F28" s="57">
        <v>28.3</v>
      </c>
      <c r="G28" s="31"/>
      <c r="I28" s="47" t="s">
        <v>94</v>
      </c>
    </row>
    <row r="29" spans="1:10" x14ac:dyDescent="0.25">
      <c r="A29" s="30"/>
      <c r="B29" s="30">
        <v>2.835</v>
      </c>
      <c r="C29" s="30"/>
      <c r="D29" s="30"/>
      <c r="E29" s="54">
        <v>44.42199999999999</v>
      </c>
      <c r="F29" s="57">
        <v>30.3</v>
      </c>
      <c r="G29" s="31"/>
      <c r="I29" s="47" t="s">
        <v>95</v>
      </c>
    </row>
    <row r="30" spans="1:10" x14ac:dyDescent="0.25">
      <c r="A30" s="30"/>
      <c r="B30" s="30">
        <v>2.6760000000000002</v>
      </c>
      <c r="C30" s="30"/>
      <c r="D30" s="30"/>
      <c r="E30" s="54">
        <v>44.580999999999989</v>
      </c>
      <c r="F30" s="57">
        <v>32.299999999999997</v>
      </c>
      <c r="G30" s="31"/>
      <c r="I30" s="47" t="s">
        <v>99</v>
      </c>
    </row>
    <row r="31" spans="1:10" x14ac:dyDescent="0.25">
      <c r="A31" s="30"/>
      <c r="B31" s="30">
        <v>2.6019999999999999</v>
      </c>
      <c r="C31" s="30"/>
      <c r="D31" s="30"/>
      <c r="E31" s="54">
        <v>44.654999999999994</v>
      </c>
      <c r="F31" s="57">
        <v>34.1</v>
      </c>
      <c r="G31" s="31" t="s">
        <v>65</v>
      </c>
    </row>
    <row r="32" spans="1:10" x14ac:dyDescent="0.25">
      <c r="A32" s="30"/>
      <c r="B32" s="30">
        <v>1.762</v>
      </c>
      <c r="C32" s="30"/>
      <c r="D32" s="30"/>
      <c r="E32" s="54">
        <v>45.49499999999999</v>
      </c>
      <c r="F32" s="57">
        <v>34.6</v>
      </c>
      <c r="G32" s="31" t="s">
        <v>64</v>
      </c>
    </row>
    <row r="33" spans="1:7" x14ac:dyDescent="0.25">
      <c r="A33" s="30"/>
      <c r="B33" s="30">
        <v>1.2450000000000001</v>
      </c>
      <c r="C33" s="30"/>
      <c r="D33" s="30"/>
      <c r="E33" s="54">
        <v>46.011999999999993</v>
      </c>
      <c r="F33" s="57">
        <v>36.6</v>
      </c>
      <c r="G33" s="31"/>
    </row>
    <row r="34" spans="1:7" x14ac:dyDescent="0.25">
      <c r="A34" s="30"/>
      <c r="B34" s="30">
        <v>0.996</v>
      </c>
      <c r="C34" s="30"/>
      <c r="D34" s="30"/>
      <c r="E34" s="54">
        <v>46.260999999999989</v>
      </c>
      <c r="F34" s="57">
        <v>39.6</v>
      </c>
      <c r="G34" s="31"/>
    </row>
    <row r="35" spans="1:7" x14ac:dyDescent="0.25">
      <c r="A35" s="30"/>
      <c r="B35" s="30">
        <v>0.66500000000000004</v>
      </c>
      <c r="C35" s="30"/>
      <c r="D35" s="30"/>
      <c r="E35" s="54">
        <v>46.591999999999992</v>
      </c>
      <c r="F35" s="57"/>
      <c r="G35" s="31" t="s">
        <v>75</v>
      </c>
    </row>
    <row r="36" spans="1:7" x14ac:dyDescent="0.25">
      <c r="A36" s="47"/>
    </row>
    <row r="37" spans="1:7" x14ac:dyDescent="0.25">
      <c r="A37" s="47"/>
    </row>
    <row r="38" spans="1:7" x14ac:dyDescent="0.25">
      <c r="A38" s="47"/>
    </row>
    <row r="39" spans="1:7" x14ac:dyDescent="0.25">
      <c r="A39" s="47"/>
    </row>
  </sheetData>
  <mergeCells count="3">
    <mergeCell ref="I24:J24"/>
    <mergeCell ref="I7:J7"/>
    <mergeCell ref="I1:J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evel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10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56"/>
  <sheetViews>
    <sheetView tabSelected="1" workbookViewId="0"/>
  </sheetViews>
  <sheetFormatPr defaultColWidth="13.42578125" defaultRowHeight="12.75" x14ac:dyDescent="0.25"/>
  <cols>
    <col min="1" max="1" width="13.42578125" style="59"/>
    <col min="2" max="2" width="13.42578125" style="60"/>
    <col min="3" max="3" width="6.5703125" style="3" customWidth="1"/>
    <col min="4" max="11" width="13.42578125" style="3"/>
    <col min="12" max="12" width="5.85546875" style="3" customWidth="1"/>
    <col min="13" max="13" width="13.42578125" style="14"/>
    <col min="14" max="16384" width="13.42578125" style="3"/>
  </cols>
  <sheetData>
    <row r="1" spans="1:20" ht="25.5" x14ac:dyDescent="0.25">
      <c r="A1" s="63" t="s">
        <v>53</v>
      </c>
      <c r="B1" s="64" t="s">
        <v>44</v>
      </c>
      <c r="C1" s="1"/>
      <c r="D1" s="2" t="s">
        <v>55</v>
      </c>
      <c r="E1" s="2" t="s">
        <v>34</v>
      </c>
      <c r="F1" s="2" t="s">
        <v>51</v>
      </c>
      <c r="G1" s="2" t="s">
        <v>51</v>
      </c>
      <c r="H1" s="2" t="s">
        <v>76</v>
      </c>
      <c r="I1" s="2" t="s">
        <v>56</v>
      </c>
      <c r="J1" s="2" t="s">
        <v>57</v>
      </c>
      <c r="K1" s="2" t="s">
        <v>54</v>
      </c>
      <c r="M1" s="76" t="s">
        <v>58</v>
      </c>
      <c r="N1" s="76"/>
      <c r="O1" s="23"/>
      <c r="P1" s="23"/>
      <c r="Q1" s="23"/>
      <c r="R1" s="23"/>
      <c r="S1" s="23"/>
      <c r="T1" s="23"/>
    </row>
    <row r="2" spans="1:20" x14ac:dyDescent="0.25">
      <c r="A2" s="65">
        <v>0</v>
      </c>
      <c r="B2" s="66">
        <v>99.965000000000003</v>
      </c>
      <c r="C2" s="4"/>
      <c r="D2" s="4">
        <v>1</v>
      </c>
      <c r="E2" s="4"/>
      <c r="F2" s="4"/>
      <c r="G2" s="4"/>
      <c r="H2" s="4"/>
      <c r="I2" s="4"/>
      <c r="J2" s="4"/>
      <c r="K2" s="60"/>
      <c r="M2" s="76"/>
      <c r="N2" s="76"/>
      <c r="O2" s="23"/>
      <c r="R2" s="23"/>
      <c r="S2" s="23"/>
      <c r="T2" s="23"/>
    </row>
    <row r="3" spans="1:20" s="6" customFormat="1" x14ac:dyDescent="0.25">
      <c r="A3" s="65">
        <v>0.5</v>
      </c>
      <c r="B3" s="66">
        <v>96.674999999999997</v>
      </c>
      <c r="C3" s="4"/>
      <c r="D3" s="4">
        <v>2</v>
      </c>
      <c r="E3" s="4"/>
      <c r="F3" s="4"/>
      <c r="G3" s="4"/>
      <c r="H3" s="4"/>
      <c r="I3" s="4"/>
      <c r="J3" s="4"/>
      <c r="K3" s="60"/>
      <c r="M3" s="77">
        <v>42137</v>
      </c>
      <c r="N3" s="77"/>
      <c r="O3" s="50"/>
      <c r="P3" s="51"/>
      <c r="Q3" s="51"/>
      <c r="R3" s="51"/>
      <c r="S3" s="51"/>
      <c r="T3" s="51"/>
    </row>
    <row r="4" spans="1:20" x14ac:dyDescent="0.25">
      <c r="A4" s="65">
        <v>1.1200000000000001</v>
      </c>
      <c r="B4" s="66">
        <v>96.85</v>
      </c>
      <c r="C4" s="4"/>
      <c r="D4" s="4">
        <v>3</v>
      </c>
      <c r="E4" s="4"/>
      <c r="F4" s="4"/>
      <c r="G4" s="4"/>
      <c r="H4" s="4"/>
      <c r="I4" s="4"/>
      <c r="J4" s="4"/>
      <c r="K4" s="60"/>
      <c r="M4" s="75"/>
      <c r="N4" s="75"/>
      <c r="P4" s="82" t="s">
        <v>1</v>
      </c>
      <c r="Q4" s="82"/>
      <c r="R4" s="82"/>
      <c r="S4" s="81" t="s">
        <v>77</v>
      </c>
      <c r="T4" s="7" t="s">
        <v>2</v>
      </c>
    </row>
    <row r="5" spans="1:20" x14ac:dyDescent="0.25">
      <c r="A5" s="65">
        <v>1.58</v>
      </c>
      <c r="B5" s="66">
        <v>97.025000000000006</v>
      </c>
      <c r="C5" s="4"/>
      <c r="D5" s="4"/>
      <c r="E5" s="4"/>
      <c r="F5" s="4"/>
      <c r="G5" s="4"/>
      <c r="H5" s="4"/>
      <c r="I5" s="4"/>
      <c r="J5" s="4"/>
      <c r="K5" s="60"/>
      <c r="M5" s="3"/>
      <c r="P5" s="71" t="s">
        <v>4</v>
      </c>
      <c r="Q5" s="71" t="s">
        <v>3</v>
      </c>
      <c r="R5" s="71"/>
      <c r="S5" s="71"/>
      <c r="T5" s="9">
        <v>0.02</v>
      </c>
    </row>
    <row r="6" spans="1:20" x14ac:dyDescent="0.25">
      <c r="A6" s="65">
        <v>2.08</v>
      </c>
      <c r="B6" s="66">
        <v>97.17</v>
      </c>
      <c r="C6" s="4"/>
      <c r="D6" s="4"/>
      <c r="E6" s="4"/>
      <c r="F6" s="4"/>
      <c r="G6" s="4"/>
      <c r="H6" s="4"/>
      <c r="I6" s="4"/>
      <c r="J6" s="4"/>
      <c r="K6" s="60"/>
      <c r="M6" s="3"/>
      <c r="N6" s="39"/>
      <c r="P6" s="71"/>
      <c r="Q6" s="71" t="s">
        <v>5</v>
      </c>
      <c r="R6" s="71"/>
      <c r="S6" s="71"/>
      <c r="T6" s="9">
        <v>2.5000000000000001E-2</v>
      </c>
    </row>
    <row r="7" spans="1:20" x14ac:dyDescent="0.25">
      <c r="A7" s="65">
        <v>2.78</v>
      </c>
      <c r="B7" s="66">
        <v>97.29</v>
      </c>
      <c r="D7" s="4"/>
      <c r="E7" s="4"/>
      <c r="F7" s="4"/>
      <c r="G7" s="4"/>
      <c r="H7" s="4"/>
      <c r="I7" s="4"/>
      <c r="J7" s="4"/>
      <c r="K7" s="60"/>
      <c r="M7" s="3"/>
      <c r="N7" s="39"/>
      <c r="P7" s="71"/>
      <c r="Q7" s="71" t="s">
        <v>6</v>
      </c>
      <c r="R7" s="71"/>
      <c r="S7" s="71"/>
      <c r="T7" s="9">
        <v>2.4E-2</v>
      </c>
    </row>
    <row r="8" spans="1:20" x14ac:dyDescent="0.25">
      <c r="A8" s="65">
        <v>4.26</v>
      </c>
      <c r="B8" s="66">
        <v>97.44</v>
      </c>
      <c r="D8" s="4"/>
      <c r="E8" s="4"/>
      <c r="F8" s="4"/>
      <c r="G8" s="4"/>
      <c r="H8" s="4"/>
      <c r="I8" s="4"/>
      <c r="J8" s="4"/>
      <c r="K8" s="60"/>
      <c r="M8" s="25"/>
      <c r="N8" s="52"/>
      <c r="P8" s="71"/>
      <c r="Q8" s="71" t="s">
        <v>7</v>
      </c>
      <c r="R8" s="71"/>
      <c r="S8" s="71"/>
      <c r="T8" s="9">
        <v>2.8000000000000001E-2</v>
      </c>
    </row>
    <row r="9" spans="1:20" x14ac:dyDescent="0.25">
      <c r="A9" s="65">
        <v>5.36</v>
      </c>
      <c r="B9" s="66">
        <v>97.54</v>
      </c>
      <c r="D9" s="4"/>
      <c r="E9" s="4"/>
      <c r="F9" s="4"/>
      <c r="G9" s="4"/>
      <c r="H9" s="4"/>
      <c r="I9" s="4"/>
      <c r="J9" s="4"/>
      <c r="K9" s="60"/>
      <c r="M9" s="3"/>
      <c r="P9" s="71" t="s">
        <v>35</v>
      </c>
      <c r="Q9" s="71" t="s">
        <v>8</v>
      </c>
      <c r="R9" s="71"/>
      <c r="S9" s="71" t="s">
        <v>78</v>
      </c>
      <c r="T9" s="9">
        <v>0</v>
      </c>
    </row>
    <row r="10" spans="1:20" x14ac:dyDescent="0.25">
      <c r="A10" s="65">
        <v>5.86</v>
      </c>
      <c r="B10" s="66">
        <v>98.09</v>
      </c>
      <c r="D10" s="4"/>
      <c r="E10" s="4"/>
      <c r="F10" s="4"/>
      <c r="G10" s="4"/>
      <c r="H10" s="4"/>
      <c r="I10" s="4"/>
      <c r="J10" s="4"/>
      <c r="K10" s="60"/>
      <c r="M10" s="3"/>
      <c r="P10" s="71"/>
      <c r="Q10" s="71" t="s">
        <v>9</v>
      </c>
      <c r="R10" s="71"/>
      <c r="S10" s="71"/>
      <c r="T10" s="9" t="s">
        <v>10</v>
      </c>
    </row>
    <row r="11" spans="1:20" x14ac:dyDescent="0.25">
      <c r="A11" s="65">
        <v>21</v>
      </c>
      <c r="B11" s="66">
        <v>98.09</v>
      </c>
      <c r="D11" s="4"/>
      <c r="E11" s="4"/>
      <c r="F11" s="4"/>
      <c r="G11" s="4"/>
      <c r="H11" s="4"/>
      <c r="I11" s="4"/>
      <c r="J11" s="4"/>
      <c r="K11" s="60"/>
      <c r="P11" s="71"/>
      <c r="Q11" s="71" t="s">
        <v>11</v>
      </c>
      <c r="R11" s="71"/>
      <c r="S11" s="71"/>
      <c r="T11" s="9">
        <v>0.01</v>
      </c>
    </row>
    <row r="12" spans="1:20" x14ac:dyDescent="0.25">
      <c r="A12" s="65">
        <v>24.86</v>
      </c>
      <c r="B12" s="66">
        <v>100.1</v>
      </c>
      <c r="D12" s="4"/>
      <c r="F12" s="4"/>
      <c r="G12" s="4"/>
      <c r="H12" s="4"/>
      <c r="I12" s="4"/>
      <c r="J12" s="4"/>
      <c r="K12" s="60"/>
      <c r="P12" s="71"/>
      <c r="Q12" s="71" t="s">
        <v>12</v>
      </c>
      <c r="R12" s="71"/>
      <c r="S12" s="71"/>
      <c r="T12" s="9">
        <v>0.02</v>
      </c>
    </row>
    <row r="13" spans="1:20" x14ac:dyDescent="0.25">
      <c r="A13" s="65"/>
      <c r="B13" s="66"/>
      <c r="D13" s="4"/>
      <c r="F13" s="4"/>
      <c r="G13" s="4"/>
      <c r="H13" s="4"/>
      <c r="I13" s="4"/>
      <c r="J13" s="4"/>
      <c r="K13" s="60"/>
      <c r="P13" s="71" t="s">
        <v>36</v>
      </c>
      <c r="Q13" s="71" t="s">
        <v>39</v>
      </c>
      <c r="R13" s="71"/>
      <c r="S13" s="71" t="s">
        <v>81</v>
      </c>
      <c r="T13" s="9">
        <v>0</v>
      </c>
    </row>
    <row r="14" spans="1:20" x14ac:dyDescent="0.25">
      <c r="A14" s="65"/>
      <c r="B14" s="66"/>
      <c r="D14" s="4"/>
      <c r="F14" s="4"/>
      <c r="G14" s="4"/>
      <c r="H14" s="4"/>
      <c r="I14" s="4"/>
      <c r="J14" s="4"/>
      <c r="K14" s="60"/>
      <c r="P14" s="71"/>
      <c r="Q14" s="71" t="s">
        <v>13</v>
      </c>
      <c r="R14" s="71"/>
      <c r="S14" s="71"/>
      <c r="T14" s="9" t="s">
        <v>10</v>
      </c>
    </row>
    <row r="15" spans="1:20" x14ac:dyDescent="0.25">
      <c r="A15" s="65"/>
      <c r="B15" s="66"/>
      <c r="D15" s="4"/>
      <c r="F15" s="4"/>
      <c r="G15" s="4"/>
      <c r="H15" s="4"/>
      <c r="I15" s="4"/>
      <c r="J15" s="4"/>
      <c r="K15" s="60"/>
      <c r="P15" s="71"/>
      <c r="Q15" s="71" t="s">
        <v>14</v>
      </c>
      <c r="R15" s="71"/>
      <c r="S15" s="71"/>
      <c r="T15" s="9" t="s">
        <v>15</v>
      </c>
    </row>
    <row r="16" spans="1:20" x14ac:dyDescent="0.25">
      <c r="A16" s="65"/>
      <c r="B16" s="66"/>
      <c r="D16" s="4"/>
      <c r="F16" s="4"/>
      <c r="G16" s="4"/>
      <c r="H16" s="4"/>
      <c r="I16" s="4"/>
      <c r="J16" s="4"/>
      <c r="K16" s="60"/>
      <c r="P16" s="71" t="s">
        <v>37</v>
      </c>
      <c r="Q16" s="71" t="s">
        <v>16</v>
      </c>
      <c r="R16" s="71"/>
      <c r="S16" s="71" t="s">
        <v>85</v>
      </c>
      <c r="T16" s="9">
        <v>0</v>
      </c>
    </row>
    <row r="17" spans="1:20" x14ac:dyDescent="0.25">
      <c r="A17" s="65"/>
      <c r="B17" s="66"/>
      <c r="D17" s="4"/>
      <c r="M17" s="10" t="s">
        <v>42</v>
      </c>
      <c r="N17" s="8">
        <f>'Cross Section '!J11</f>
        <v>2.400000000000002E-3</v>
      </c>
      <c r="P17" s="71"/>
      <c r="Q17" s="71" t="s">
        <v>17</v>
      </c>
      <c r="R17" s="71"/>
      <c r="S17" s="71"/>
      <c r="T17" s="9" t="s">
        <v>15</v>
      </c>
    </row>
    <row r="18" spans="1:20" x14ac:dyDescent="0.25">
      <c r="A18" s="65"/>
      <c r="B18" s="66"/>
      <c r="D18" s="4"/>
      <c r="P18" s="71"/>
      <c r="Q18" s="71" t="s">
        <v>18</v>
      </c>
      <c r="R18" s="71"/>
      <c r="S18" s="71"/>
      <c r="T18" s="9" t="s">
        <v>19</v>
      </c>
    </row>
    <row r="19" spans="1:20" x14ac:dyDescent="0.25">
      <c r="A19" s="65"/>
      <c r="B19" s="66"/>
      <c r="D19" s="4"/>
      <c r="M19" s="74" t="s">
        <v>40</v>
      </c>
      <c r="N19" s="74"/>
      <c r="P19" s="71"/>
      <c r="Q19" s="71" t="s">
        <v>20</v>
      </c>
      <c r="R19" s="71"/>
      <c r="S19" s="71"/>
      <c r="T19" s="9" t="s">
        <v>21</v>
      </c>
    </row>
    <row r="20" spans="1:20" ht="15.75" x14ac:dyDescent="0.2">
      <c r="A20" s="65"/>
      <c r="B20" s="66"/>
      <c r="D20" s="4"/>
      <c r="M20" s="5" t="s">
        <v>79</v>
      </c>
      <c r="N20" s="11">
        <v>0.02</v>
      </c>
      <c r="P20" s="71" t="s">
        <v>26</v>
      </c>
      <c r="Q20" s="71" t="s">
        <v>22</v>
      </c>
      <c r="R20" s="71"/>
      <c r="S20" s="71" t="s">
        <v>87</v>
      </c>
      <c r="T20" s="9" t="s">
        <v>23</v>
      </c>
    </row>
    <row r="21" spans="1:20" ht="15.75" x14ac:dyDescent="0.2">
      <c r="A21" s="65"/>
      <c r="B21" s="66"/>
      <c r="M21" s="8" t="s">
        <v>80</v>
      </c>
      <c r="N21" s="11">
        <v>0.01</v>
      </c>
      <c r="P21" s="71"/>
      <c r="Q21" s="71" t="s">
        <v>24</v>
      </c>
      <c r="R21" s="71"/>
      <c r="S21" s="71"/>
      <c r="T21" s="9" t="s">
        <v>25</v>
      </c>
    </row>
    <row r="22" spans="1:20" ht="15.75" x14ac:dyDescent="0.2">
      <c r="A22" s="65"/>
      <c r="B22" s="66"/>
      <c r="M22" s="8" t="s">
        <v>82</v>
      </c>
      <c r="N22" s="11">
        <v>5.0000000000000001E-3</v>
      </c>
      <c r="P22" s="71"/>
      <c r="Q22" s="71" t="s">
        <v>27</v>
      </c>
      <c r="R22" s="71"/>
      <c r="S22" s="71"/>
      <c r="T22" s="9" t="s">
        <v>28</v>
      </c>
    </row>
    <row r="23" spans="1:20" ht="15.75" x14ac:dyDescent="0.2">
      <c r="A23" s="65"/>
      <c r="B23" s="66"/>
      <c r="M23" s="8" t="s">
        <v>83</v>
      </c>
      <c r="N23" s="11">
        <v>0.02</v>
      </c>
      <c r="P23" s="71"/>
      <c r="Q23" s="71" t="s">
        <v>29</v>
      </c>
      <c r="R23" s="71"/>
      <c r="S23" s="71"/>
      <c r="T23" s="9" t="s">
        <v>30</v>
      </c>
    </row>
    <row r="24" spans="1:20" ht="15.75" x14ac:dyDescent="0.2">
      <c r="A24" s="65"/>
      <c r="B24" s="66"/>
      <c r="M24" s="8" t="s">
        <v>84</v>
      </c>
      <c r="N24" s="11">
        <v>0.02</v>
      </c>
      <c r="P24" s="71" t="s">
        <v>38</v>
      </c>
      <c r="Q24" s="71" t="s">
        <v>31</v>
      </c>
      <c r="R24" s="71"/>
      <c r="S24" s="71" t="s">
        <v>88</v>
      </c>
      <c r="T24" s="13">
        <v>1</v>
      </c>
    </row>
    <row r="25" spans="1:20" ht="15.75" x14ac:dyDescent="0.2">
      <c r="A25" s="65"/>
      <c r="B25" s="66"/>
      <c r="M25" s="8" t="s">
        <v>86</v>
      </c>
      <c r="N25" s="11">
        <v>1.1499999999999999</v>
      </c>
      <c r="P25" s="71"/>
      <c r="Q25" s="71" t="s">
        <v>18</v>
      </c>
      <c r="R25" s="71"/>
      <c r="S25" s="71"/>
      <c r="T25" s="13" t="s">
        <v>32</v>
      </c>
    </row>
    <row r="26" spans="1:20" x14ac:dyDescent="0.25">
      <c r="A26" s="65"/>
      <c r="B26" s="66"/>
      <c r="M26" s="10" t="s">
        <v>41</v>
      </c>
      <c r="N26" s="12">
        <f>SUM(N20:N24)*N25</f>
        <v>8.6249999999999993E-2</v>
      </c>
      <c r="P26" s="71"/>
      <c r="Q26" s="71" t="s">
        <v>12</v>
      </c>
      <c r="R26" s="71"/>
      <c r="S26" s="71"/>
      <c r="T26" s="13">
        <v>1.3</v>
      </c>
    </row>
    <row r="27" spans="1:20" x14ac:dyDescent="0.25">
      <c r="A27" s="65"/>
      <c r="B27" s="66"/>
    </row>
    <row r="28" spans="1:20" ht="13.5" thickBot="1" x14ac:dyDescent="0.3">
      <c r="A28" s="65"/>
      <c r="B28" s="66"/>
    </row>
    <row r="29" spans="1:20" x14ac:dyDescent="0.25">
      <c r="A29" s="65"/>
      <c r="B29" s="66"/>
      <c r="M29" s="78" t="s">
        <v>45</v>
      </c>
      <c r="N29" s="79"/>
      <c r="O29" s="80"/>
      <c r="P29" s="1"/>
      <c r="Q29" s="1"/>
      <c r="R29" s="1"/>
      <c r="S29" s="1"/>
    </row>
    <row r="30" spans="1:20" x14ac:dyDescent="0.25">
      <c r="A30" s="65"/>
      <c r="B30" s="66"/>
      <c r="M30" s="15" t="s">
        <v>98</v>
      </c>
      <c r="O30" s="16"/>
    </row>
    <row r="31" spans="1:20" x14ac:dyDescent="0.25">
      <c r="A31" s="65"/>
      <c r="B31" s="66"/>
      <c r="M31" s="15" t="s">
        <v>96</v>
      </c>
      <c r="O31" s="16"/>
    </row>
    <row r="32" spans="1:20" ht="13.5" thickBot="1" x14ac:dyDescent="0.3">
      <c r="A32" s="65"/>
      <c r="B32" s="66"/>
      <c r="M32" s="17" t="s">
        <v>97</v>
      </c>
      <c r="N32" s="18"/>
      <c r="O32" s="19"/>
    </row>
    <row r="33" spans="1:19" x14ac:dyDescent="0.25">
      <c r="A33" s="65"/>
      <c r="B33" s="66"/>
    </row>
    <row r="34" spans="1:19" ht="15" x14ac:dyDescent="0.25">
      <c r="A34" s="61"/>
      <c r="B34"/>
    </row>
    <row r="35" spans="1:19" x14ac:dyDescent="0.25">
      <c r="A35" s="61"/>
      <c r="B35" s="62"/>
    </row>
    <row r="36" spans="1:19" ht="13.5" thickBot="1" x14ac:dyDescent="0.3">
      <c r="A36" s="61"/>
      <c r="B36" s="62"/>
    </row>
    <row r="37" spans="1:19" x14ac:dyDescent="0.25">
      <c r="A37" s="61"/>
      <c r="B37" s="62"/>
      <c r="M37" s="20" t="s">
        <v>46</v>
      </c>
      <c r="N37" s="21"/>
      <c r="O37" s="21"/>
      <c r="P37" s="21"/>
      <c r="Q37" s="21"/>
      <c r="R37" s="22"/>
      <c r="S37" s="23"/>
    </row>
    <row r="38" spans="1:19" x14ac:dyDescent="0.25">
      <c r="A38" s="61"/>
      <c r="B38" s="62"/>
      <c r="M38" s="15" t="s">
        <v>47</v>
      </c>
      <c r="R38" s="16"/>
    </row>
    <row r="39" spans="1:19" x14ac:dyDescent="0.25">
      <c r="M39" s="15" t="s">
        <v>48</v>
      </c>
      <c r="R39" s="16"/>
    </row>
    <row r="40" spans="1:19" x14ac:dyDescent="0.25">
      <c r="M40" s="15" t="s">
        <v>49</v>
      </c>
      <c r="R40" s="16"/>
    </row>
    <row r="41" spans="1:19" ht="13.5" thickBot="1" x14ac:dyDescent="0.3">
      <c r="M41" s="17" t="s">
        <v>52</v>
      </c>
      <c r="N41" s="18"/>
      <c r="O41" s="18"/>
      <c r="P41" s="18"/>
      <c r="Q41" s="18"/>
      <c r="R41" s="19"/>
    </row>
    <row r="43" spans="1:19" ht="13.5" thickBot="1" x14ac:dyDescent="0.3"/>
    <row r="44" spans="1:19" x14ac:dyDescent="0.25">
      <c r="M44" s="72" t="s">
        <v>50</v>
      </c>
      <c r="N44" s="73"/>
    </row>
    <row r="45" spans="1:19" x14ac:dyDescent="0.25">
      <c r="M45" s="15" t="s">
        <v>43</v>
      </c>
      <c r="N45" s="16"/>
    </row>
    <row r="46" spans="1:19" x14ac:dyDescent="0.25">
      <c r="M46" s="15" t="s">
        <v>0</v>
      </c>
      <c r="N46" s="16"/>
    </row>
    <row r="47" spans="1:19" ht="15" thickBot="1" x14ac:dyDescent="0.25">
      <c r="M47" s="24" t="s">
        <v>89</v>
      </c>
      <c r="N47" s="19"/>
    </row>
    <row r="53" spans="13:14" x14ac:dyDescent="0.25">
      <c r="M53" s="70"/>
      <c r="N53" s="70"/>
    </row>
    <row r="56" spans="13:14" x14ac:dyDescent="0.2">
      <c r="M56" s="26"/>
    </row>
  </sheetData>
  <mergeCells count="42">
    <mergeCell ref="M1:N2"/>
    <mergeCell ref="M3:N3"/>
    <mergeCell ref="M29:O29"/>
    <mergeCell ref="P24:P26"/>
    <mergeCell ref="S4:S8"/>
    <mergeCell ref="S13:S15"/>
    <mergeCell ref="S9:S12"/>
    <mergeCell ref="S16:S19"/>
    <mergeCell ref="S20:S23"/>
    <mergeCell ref="S24:S26"/>
    <mergeCell ref="Q5:R5"/>
    <mergeCell ref="Q6:R6"/>
    <mergeCell ref="Q7:R7"/>
    <mergeCell ref="P4:R4"/>
    <mergeCell ref="P5:P8"/>
    <mergeCell ref="P9:P12"/>
    <mergeCell ref="P13:P15"/>
    <mergeCell ref="M19:N19"/>
    <mergeCell ref="M4:N4"/>
    <mergeCell ref="Q18:R18"/>
    <mergeCell ref="Q12:R12"/>
    <mergeCell ref="Q13:R13"/>
    <mergeCell ref="Q14:R14"/>
    <mergeCell ref="Q15:R15"/>
    <mergeCell ref="Q16:R16"/>
    <mergeCell ref="Q17:R17"/>
    <mergeCell ref="Q8:R8"/>
    <mergeCell ref="Q9:R9"/>
    <mergeCell ref="Q10:R10"/>
    <mergeCell ref="Q11:R11"/>
    <mergeCell ref="M53:N53"/>
    <mergeCell ref="Q25:R25"/>
    <mergeCell ref="Q26:R26"/>
    <mergeCell ref="Q24:R24"/>
    <mergeCell ref="Q19:R19"/>
    <mergeCell ref="Q20:R20"/>
    <mergeCell ref="Q21:R21"/>
    <mergeCell ref="Q22:R22"/>
    <mergeCell ref="Q23:R23"/>
    <mergeCell ref="M44:N44"/>
    <mergeCell ref="P16:P19"/>
    <mergeCell ref="P20:P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rea">
                <anchor moveWithCells="1" sizeWithCells="1">
                  <from>
                    <xdr:col>12</xdr:col>
                    <xdr:colOff>0</xdr:colOff>
                    <xdr:row>4</xdr:row>
                    <xdr:rowOff>9525</xdr:rowOff>
                  </from>
                  <to>
                    <xdr:col>14</xdr:col>
                    <xdr:colOff>9525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</vt:lpstr>
      <vt:lpstr>Mannings</vt:lpstr>
    </vt:vector>
  </TitlesOfParts>
  <Company>Water and Sewerage Authority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Kevan Lee Lum</dc:creator>
  <cp:lastModifiedBy>Kevan Lee Lum</cp:lastModifiedBy>
  <dcterms:created xsi:type="dcterms:W3CDTF">2014-01-31T17:27:26Z</dcterms:created>
  <dcterms:modified xsi:type="dcterms:W3CDTF">2018-03-28T15:10:58Z</dcterms:modified>
</cp:coreProperties>
</file>