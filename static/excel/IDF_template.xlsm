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um1679\Documents\IDF Curves\"/>
    </mc:Choice>
  </mc:AlternateContent>
  <bookViews>
    <workbookView xWindow="0" yWindow="0" windowWidth="19200" windowHeight="11595"/>
  </bookViews>
  <sheets>
    <sheet name="Input" sheetId="2" r:id="rId1"/>
    <sheet name="Output" sheetId="4" r:id="rId2"/>
    <sheet name="IDF" sheetId="3" r:id="rId3"/>
    <sheet name="DDF" sheetId="5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5" i="4" l="1"/>
  <c r="E95" i="4"/>
  <c r="F95" i="4"/>
  <c r="H95" i="4"/>
  <c r="I95" i="4"/>
  <c r="J95" i="4"/>
  <c r="K95" i="4"/>
  <c r="L95" i="4"/>
  <c r="M95" i="4"/>
  <c r="N95" i="4"/>
  <c r="O95" i="4"/>
  <c r="P95" i="4"/>
  <c r="Q95" i="4"/>
  <c r="R95" i="4"/>
  <c r="C96" i="4"/>
  <c r="E96" i="4"/>
  <c r="F96" i="4"/>
  <c r="H96" i="4"/>
  <c r="I96" i="4"/>
  <c r="J96" i="4"/>
  <c r="K96" i="4"/>
  <c r="L96" i="4"/>
  <c r="M96" i="4"/>
  <c r="N96" i="4"/>
  <c r="O96" i="4"/>
  <c r="P96" i="4"/>
  <c r="Q96" i="4"/>
  <c r="R96" i="4"/>
  <c r="C97" i="4"/>
  <c r="E97" i="4"/>
  <c r="F97" i="4"/>
  <c r="H97" i="4"/>
  <c r="I97" i="4"/>
  <c r="J97" i="4"/>
  <c r="K97" i="4"/>
  <c r="L97" i="4"/>
  <c r="M97" i="4"/>
  <c r="N97" i="4"/>
  <c r="O97" i="4"/>
  <c r="P97" i="4"/>
  <c r="Q97" i="4"/>
  <c r="R97" i="4"/>
  <c r="C98" i="4"/>
  <c r="E98" i="4"/>
  <c r="F98" i="4"/>
  <c r="H98" i="4"/>
  <c r="I98" i="4"/>
  <c r="J98" i="4"/>
  <c r="K98" i="4"/>
  <c r="L98" i="4"/>
  <c r="M98" i="4"/>
  <c r="N98" i="4"/>
  <c r="O98" i="4"/>
  <c r="P98" i="4"/>
  <c r="Q98" i="4"/>
  <c r="R98" i="4"/>
  <c r="C99" i="4"/>
  <c r="E99" i="4"/>
  <c r="F99" i="4"/>
  <c r="H99" i="4"/>
  <c r="I99" i="4"/>
  <c r="J99" i="4"/>
  <c r="K99" i="4"/>
  <c r="L99" i="4"/>
  <c r="M99" i="4"/>
  <c r="N99" i="4"/>
  <c r="O99" i="4"/>
  <c r="P99" i="4"/>
  <c r="Q99" i="4"/>
  <c r="R99" i="4"/>
  <c r="O24" i="4" l="1"/>
  <c r="P24" i="4"/>
  <c r="Q24" i="4"/>
  <c r="O25" i="4"/>
  <c r="P25" i="4"/>
  <c r="Q25" i="4"/>
  <c r="O26" i="4"/>
  <c r="P26" i="4"/>
  <c r="Q26" i="4"/>
  <c r="O27" i="4"/>
  <c r="P27" i="4"/>
  <c r="Q27" i="4"/>
  <c r="O28" i="4"/>
  <c r="P28" i="4"/>
  <c r="Q28" i="4"/>
  <c r="O29" i="4"/>
  <c r="P29" i="4"/>
  <c r="Q29" i="4"/>
  <c r="O30" i="4"/>
  <c r="P30" i="4"/>
  <c r="Q30" i="4"/>
  <c r="O31" i="4"/>
  <c r="P31" i="4"/>
  <c r="Q31" i="4"/>
  <c r="O32" i="4"/>
  <c r="P32" i="4"/>
  <c r="Q32" i="4"/>
  <c r="O33" i="4"/>
  <c r="P33" i="4"/>
  <c r="Q33" i="4"/>
  <c r="O34" i="4"/>
  <c r="P34" i="4"/>
  <c r="Q34" i="4"/>
  <c r="O35" i="4"/>
  <c r="P35" i="4"/>
  <c r="Q35" i="4"/>
  <c r="O36" i="4"/>
  <c r="P36" i="4"/>
  <c r="Q36" i="4"/>
  <c r="O37" i="4"/>
  <c r="P37" i="4"/>
  <c r="Q37" i="4"/>
  <c r="O38" i="4"/>
  <c r="P38" i="4"/>
  <c r="Q38" i="4"/>
  <c r="O39" i="4"/>
  <c r="P39" i="4"/>
  <c r="Q39" i="4"/>
  <c r="O40" i="4"/>
  <c r="P40" i="4"/>
  <c r="Q40" i="4"/>
  <c r="O41" i="4"/>
  <c r="P41" i="4"/>
  <c r="Q41" i="4"/>
  <c r="O42" i="4"/>
  <c r="P42" i="4"/>
  <c r="Q42" i="4"/>
  <c r="O43" i="4"/>
  <c r="P43" i="4"/>
  <c r="Q43" i="4"/>
  <c r="O44" i="4"/>
  <c r="P44" i="4"/>
  <c r="Q44" i="4"/>
  <c r="O45" i="4"/>
  <c r="P45" i="4"/>
  <c r="Q45" i="4"/>
  <c r="O46" i="4"/>
  <c r="P46" i="4"/>
  <c r="Q46" i="4"/>
  <c r="O47" i="4"/>
  <c r="P47" i="4"/>
  <c r="Q47" i="4"/>
  <c r="O48" i="4"/>
  <c r="P48" i="4"/>
  <c r="Q48" i="4"/>
  <c r="O49" i="4"/>
  <c r="P49" i="4"/>
  <c r="Q49" i="4"/>
  <c r="O50" i="4"/>
  <c r="P50" i="4"/>
  <c r="Q50" i="4"/>
  <c r="O51" i="4"/>
  <c r="P51" i="4"/>
  <c r="Q51" i="4"/>
  <c r="O52" i="4"/>
  <c r="P52" i="4"/>
  <c r="Q52" i="4"/>
  <c r="O53" i="4"/>
  <c r="P53" i="4"/>
  <c r="Q53" i="4"/>
  <c r="O54" i="4"/>
  <c r="P54" i="4"/>
  <c r="Q54" i="4"/>
  <c r="O55" i="4"/>
  <c r="P55" i="4"/>
  <c r="Q55" i="4"/>
  <c r="O56" i="4"/>
  <c r="P56" i="4"/>
  <c r="Q56" i="4"/>
  <c r="O57" i="4"/>
  <c r="P57" i="4"/>
  <c r="Q57" i="4"/>
  <c r="O58" i="4"/>
  <c r="P58" i="4"/>
  <c r="Q58" i="4"/>
  <c r="O59" i="4"/>
  <c r="P59" i="4"/>
  <c r="Q59" i="4"/>
  <c r="O60" i="4"/>
  <c r="P60" i="4"/>
  <c r="Q60" i="4"/>
  <c r="O61" i="4"/>
  <c r="P61" i="4"/>
  <c r="Q61" i="4"/>
  <c r="O62" i="4"/>
  <c r="P62" i="4"/>
  <c r="Q62" i="4"/>
  <c r="O63" i="4"/>
  <c r="P63" i="4"/>
  <c r="Q63" i="4"/>
  <c r="O64" i="4"/>
  <c r="P64" i="4"/>
  <c r="Q64" i="4"/>
  <c r="O65" i="4"/>
  <c r="P65" i="4"/>
  <c r="Q65" i="4"/>
  <c r="O66" i="4"/>
  <c r="P66" i="4"/>
  <c r="Q66" i="4"/>
  <c r="O67" i="4"/>
  <c r="P67" i="4"/>
  <c r="Q67" i="4"/>
  <c r="O68" i="4"/>
  <c r="P68" i="4"/>
  <c r="Q68" i="4"/>
  <c r="O69" i="4"/>
  <c r="P69" i="4"/>
  <c r="Q69" i="4"/>
  <c r="O70" i="4"/>
  <c r="P70" i="4"/>
  <c r="Q70" i="4"/>
  <c r="O71" i="4"/>
  <c r="P71" i="4"/>
  <c r="Q71" i="4"/>
  <c r="O72" i="4"/>
  <c r="P72" i="4"/>
  <c r="Q72" i="4"/>
  <c r="O73" i="4"/>
  <c r="P73" i="4"/>
  <c r="Q73" i="4"/>
  <c r="O74" i="4"/>
  <c r="P74" i="4"/>
  <c r="Q74" i="4"/>
  <c r="O75" i="4"/>
  <c r="P75" i="4"/>
  <c r="Q75" i="4"/>
  <c r="O76" i="4"/>
  <c r="P76" i="4"/>
  <c r="Q76" i="4"/>
  <c r="O77" i="4"/>
  <c r="P77" i="4"/>
  <c r="Q77" i="4"/>
  <c r="O78" i="4"/>
  <c r="P78" i="4"/>
  <c r="Q78" i="4"/>
  <c r="O79" i="4"/>
  <c r="P79" i="4"/>
  <c r="Q79" i="4"/>
  <c r="O80" i="4"/>
  <c r="P80" i="4"/>
  <c r="Q80" i="4"/>
  <c r="O81" i="4"/>
  <c r="P81" i="4"/>
  <c r="Q81" i="4"/>
  <c r="O82" i="4"/>
  <c r="P82" i="4"/>
  <c r="Q82" i="4"/>
  <c r="O83" i="4"/>
  <c r="P83" i="4"/>
  <c r="Q83" i="4"/>
  <c r="O84" i="4"/>
  <c r="P84" i="4"/>
  <c r="Q84" i="4"/>
  <c r="O85" i="4"/>
  <c r="P85" i="4"/>
  <c r="Q85" i="4"/>
  <c r="O86" i="4"/>
  <c r="P86" i="4"/>
  <c r="Q86" i="4"/>
  <c r="O87" i="4"/>
  <c r="P87" i="4"/>
  <c r="Q87" i="4"/>
  <c r="O88" i="4"/>
  <c r="P88" i="4"/>
  <c r="Q88" i="4"/>
  <c r="O89" i="4"/>
  <c r="P89" i="4"/>
  <c r="Q89" i="4"/>
  <c r="O90" i="4"/>
  <c r="P90" i="4"/>
  <c r="Q90" i="4"/>
  <c r="O91" i="4"/>
  <c r="P91" i="4"/>
  <c r="Q91" i="4"/>
  <c r="O92" i="4"/>
  <c r="P92" i="4"/>
  <c r="Q92" i="4"/>
  <c r="O93" i="4"/>
  <c r="P93" i="4"/>
  <c r="Q93" i="4"/>
  <c r="O94" i="4"/>
  <c r="P94" i="4"/>
  <c r="Q94" i="4"/>
  <c r="O100" i="4"/>
  <c r="P100" i="4"/>
  <c r="Q100" i="4"/>
  <c r="O101" i="4"/>
  <c r="P101" i="4"/>
  <c r="Q101" i="4"/>
  <c r="O102" i="4"/>
  <c r="P102" i="4"/>
  <c r="Q102" i="4"/>
  <c r="O103" i="4"/>
  <c r="P103" i="4"/>
  <c r="Q103" i="4"/>
  <c r="O104" i="4"/>
  <c r="P104" i="4"/>
  <c r="Q104" i="4"/>
  <c r="O105" i="4"/>
  <c r="P105" i="4"/>
  <c r="Q105" i="4"/>
  <c r="O106" i="4"/>
  <c r="P106" i="4"/>
  <c r="Q106" i="4"/>
  <c r="O107" i="4"/>
  <c r="P107" i="4"/>
  <c r="Q107" i="4"/>
  <c r="O108" i="4"/>
  <c r="P108" i="4"/>
  <c r="Q108" i="4"/>
  <c r="O109" i="4"/>
  <c r="P109" i="4"/>
  <c r="Q109" i="4"/>
  <c r="O110" i="4"/>
  <c r="P110" i="4"/>
  <c r="Q110" i="4"/>
  <c r="O111" i="4"/>
  <c r="P111" i="4"/>
  <c r="Q111" i="4"/>
  <c r="O112" i="4"/>
  <c r="P112" i="4"/>
  <c r="Q112" i="4"/>
  <c r="O113" i="4"/>
  <c r="P113" i="4"/>
  <c r="Q113" i="4"/>
  <c r="P19" i="4" l="1"/>
  <c r="P20" i="4"/>
  <c r="Q20" i="4"/>
  <c r="O20" i="4"/>
  <c r="Q19" i="4"/>
  <c r="O19" i="4"/>
  <c r="R113" i="4"/>
  <c r="N113" i="4"/>
  <c r="M113" i="4"/>
  <c r="L113" i="4"/>
  <c r="K113" i="4"/>
  <c r="J113" i="4"/>
  <c r="I113" i="4"/>
  <c r="H113" i="4"/>
  <c r="C113" i="4"/>
  <c r="R112" i="4"/>
  <c r="N112" i="4"/>
  <c r="M112" i="4"/>
  <c r="L112" i="4"/>
  <c r="K112" i="4"/>
  <c r="J112" i="4"/>
  <c r="I112" i="4"/>
  <c r="H112" i="4"/>
  <c r="C112" i="4"/>
  <c r="R111" i="4"/>
  <c r="N111" i="4"/>
  <c r="M111" i="4"/>
  <c r="L111" i="4"/>
  <c r="K111" i="4"/>
  <c r="J111" i="4"/>
  <c r="I111" i="4"/>
  <c r="H111" i="4"/>
  <c r="C111" i="4"/>
  <c r="R110" i="4"/>
  <c r="N110" i="4"/>
  <c r="M110" i="4"/>
  <c r="L110" i="4"/>
  <c r="K110" i="4"/>
  <c r="J110" i="4"/>
  <c r="I110" i="4"/>
  <c r="H110" i="4"/>
  <c r="C110" i="4"/>
  <c r="R109" i="4"/>
  <c r="N109" i="4"/>
  <c r="M109" i="4"/>
  <c r="L109" i="4"/>
  <c r="K109" i="4"/>
  <c r="J109" i="4"/>
  <c r="I109" i="4"/>
  <c r="H109" i="4"/>
  <c r="C109" i="4"/>
  <c r="R108" i="4"/>
  <c r="N108" i="4"/>
  <c r="M108" i="4"/>
  <c r="L108" i="4"/>
  <c r="K108" i="4"/>
  <c r="J108" i="4"/>
  <c r="I108" i="4"/>
  <c r="H108" i="4"/>
  <c r="C108" i="4"/>
  <c r="R107" i="4"/>
  <c r="N107" i="4"/>
  <c r="M107" i="4"/>
  <c r="L107" i="4"/>
  <c r="K107" i="4"/>
  <c r="J107" i="4"/>
  <c r="I107" i="4"/>
  <c r="H107" i="4"/>
  <c r="C107" i="4"/>
  <c r="R106" i="4"/>
  <c r="N106" i="4"/>
  <c r="M106" i="4"/>
  <c r="L106" i="4"/>
  <c r="K106" i="4"/>
  <c r="J106" i="4"/>
  <c r="I106" i="4"/>
  <c r="H106" i="4"/>
  <c r="C106" i="4"/>
  <c r="R105" i="4"/>
  <c r="N105" i="4"/>
  <c r="M105" i="4"/>
  <c r="L105" i="4"/>
  <c r="K105" i="4"/>
  <c r="J105" i="4"/>
  <c r="I105" i="4"/>
  <c r="H105" i="4"/>
  <c r="C105" i="4"/>
  <c r="R104" i="4"/>
  <c r="N104" i="4"/>
  <c r="M104" i="4"/>
  <c r="L104" i="4"/>
  <c r="K104" i="4"/>
  <c r="J104" i="4"/>
  <c r="I104" i="4"/>
  <c r="H104" i="4"/>
  <c r="C104" i="4"/>
  <c r="R103" i="4"/>
  <c r="N103" i="4"/>
  <c r="M103" i="4"/>
  <c r="L103" i="4"/>
  <c r="K103" i="4"/>
  <c r="J103" i="4"/>
  <c r="I103" i="4"/>
  <c r="H103" i="4"/>
  <c r="C103" i="4"/>
  <c r="R102" i="4"/>
  <c r="N102" i="4"/>
  <c r="M102" i="4"/>
  <c r="L102" i="4"/>
  <c r="K102" i="4"/>
  <c r="J102" i="4"/>
  <c r="I102" i="4"/>
  <c r="H102" i="4"/>
  <c r="C102" i="4"/>
  <c r="R101" i="4"/>
  <c r="N101" i="4"/>
  <c r="M101" i="4"/>
  <c r="L101" i="4"/>
  <c r="K101" i="4"/>
  <c r="J101" i="4"/>
  <c r="I101" i="4"/>
  <c r="H101" i="4"/>
  <c r="C101" i="4"/>
  <c r="R100" i="4"/>
  <c r="N100" i="4"/>
  <c r="M100" i="4"/>
  <c r="L100" i="4"/>
  <c r="K100" i="4"/>
  <c r="J100" i="4"/>
  <c r="I100" i="4"/>
  <c r="H100" i="4"/>
  <c r="C100" i="4"/>
  <c r="R94" i="4"/>
  <c r="N94" i="4"/>
  <c r="M94" i="4"/>
  <c r="L94" i="4"/>
  <c r="K94" i="4"/>
  <c r="J94" i="4"/>
  <c r="I94" i="4"/>
  <c r="H94" i="4"/>
  <c r="C94" i="4"/>
  <c r="R93" i="4"/>
  <c r="N93" i="4"/>
  <c r="M93" i="4"/>
  <c r="L93" i="4"/>
  <c r="K93" i="4"/>
  <c r="J93" i="4"/>
  <c r="I93" i="4"/>
  <c r="H93" i="4"/>
  <c r="C93" i="4"/>
  <c r="R92" i="4"/>
  <c r="N92" i="4"/>
  <c r="M92" i="4"/>
  <c r="L92" i="4"/>
  <c r="K92" i="4"/>
  <c r="J92" i="4"/>
  <c r="I92" i="4"/>
  <c r="H92" i="4"/>
  <c r="C92" i="4"/>
  <c r="R91" i="4"/>
  <c r="N91" i="4"/>
  <c r="M91" i="4"/>
  <c r="L91" i="4"/>
  <c r="K91" i="4"/>
  <c r="J91" i="4"/>
  <c r="I91" i="4"/>
  <c r="H91" i="4"/>
  <c r="C91" i="4"/>
  <c r="R90" i="4"/>
  <c r="N90" i="4"/>
  <c r="M90" i="4"/>
  <c r="L90" i="4"/>
  <c r="K90" i="4"/>
  <c r="J90" i="4"/>
  <c r="I90" i="4"/>
  <c r="H90" i="4"/>
  <c r="C90" i="4"/>
  <c r="R89" i="4"/>
  <c r="N89" i="4"/>
  <c r="M89" i="4"/>
  <c r="L89" i="4"/>
  <c r="K89" i="4"/>
  <c r="J89" i="4"/>
  <c r="I89" i="4"/>
  <c r="H89" i="4"/>
  <c r="C89" i="4"/>
  <c r="R88" i="4"/>
  <c r="N88" i="4"/>
  <c r="M88" i="4"/>
  <c r="L88" i="4"/>
  <c r="K88" i="4"/>
  <c r="J88" i="4"/>
  <c r="I88" i="4"/>
  <c r="H88" i="4"/>
  <c r="C88" i="4"/>
  <c r="R87" i="4"/>
  <c r="N87" i="4"/>
  <c r="M87" i="4"/>
  <c r="L87" i="4"/>
  <c r="K87" i="4"/>
  <c r="J87" i="4"/>
  <c r="I87" i="4"/>
  <c r="H87" i="4"/>
  <c r="C87" i="4"/>
  <c r="R86" i="4"/>
  <c r="N86" i="4"/>
  <c r="M86" i="4"/>
  <c r="L86" i="4"/>
  <c r="K86" i="4"/>
  <c r="J86" i="4"/>
  <c r="I86" i="4"/>
  <c r="H86" i="4"/>
  <c r="C86" i="4"/>
  <c r="R85" i="4"/>
  <c r="N85" i="4"/>
  <c r="M85" i="4"/>
  <c r="L85" i="4"/>
  <c r="K85" i="4"/>
  <c r="J85" i="4"/>
  <c r="I85" i="4"/>
  <c r="H85" i="4"/>
  <c r="C85" i="4"/>
  <c r="R84" i="4"/>
  <c r="N84" i="4"/>
  <c r="M84" i="4"/>
  <c r="L84" i="4"/>
  <c r="K84" i="4"/>
  <c r="J84" i="4"/>
  <c r="I84" i="4"/>
  <c r="H84" i="4"/>
  <c r="C84" i="4"/>
  <c r="R83" i="4"/>
  <c r="N83" i="4"/>
  <c r="M83" i="4"/>
  <c r="L83" i="4"/>
  <c r="K83" i="4"/>
  <c r="J83" i="4"/>
  <c r="I83" i="4"/>
  <c r="H83" i="4"/>
  <c r="C83" i="4"/>
  <c r="R82" i="4"/>
  <c r="N82" i="4"/>
  <c r="M82" i="4"/>
  <c r="L82" i="4"/>
  <c r="K82" i="4"/>
  <c r="J82" i="4"/>
  <c r="I82" i="4"/>
  <c r="H82" i="4"/>
  <c r="C82" i="4"/>
  <c r="R81" i="4"/>
  <c r="N81" i="4"/>
  <c r="M81" i="4"/>
  <c r="L81" i="4"/>
  <c r="K81" i="4"/>
  <c r="J81" i="4"/>
  <c r="I81" i="4"/>
  <c r="H81" i="4"/>
  <c r="C81" i="4"/>
  <c r="R80" i="4"/>
  <c r="N80" i="4"/>
  <c r="M80" i="4"/>
  <c r="L80" i="4"/>
  <c r="K80" i="4"/>
  <c r="J80" i="4"/>
  <c r="I80" i="4"/>
  <c r="H80" i="4"/>
  <c r="C80" i="4"/>
  <c r="R79" i="4"/>
  <c r="N79" i="4"/>
  <c r="M79" i="4"/>
  <c r="L79" i="4"/>
  <c r="K79" i="4"/>
  <c r="J79" i="4"/>
  <c r="I79" i="4"/>
  <c r="H79" i="4"/>
  <c r="C79" i="4"/>
  <c r="R78" i="4"/>
  <c r="N78" i="4"/>
  <c r="M78" i="4"/>
  <c r="L78" i="4"/>
  <c r="K78" i="4"/>
  <c r="J78" i="4"/>
  <c r="I78" i="4"/>
  <c r="H78" i="4"/>
  <c r="C78" i="4"/>
  <c r="R77" i="4"/>
  <c r="N77" i="4"/>
  <c r="M77" i="4"/>
  <c r="L77" i="4"/>
  <c r="K77" i="4"/>
  <c r="J77" i="4"/>
  <c r="I77" i="4"/>
  <c r="H77" i="4"/>
  <c r="C77" i="4"/>
  <c r="R76" i="4"/>
  <c r="N76" i="4"/>
  <c r="M76" i="4"/>
  <c r="L76" i="4"/>
  <c r="K76" i="4"/>
  <c r="J76" i="4"/>
  <c r="I76" i="4"/>
  <c r="H76" i="4"/>
  <c r="C76" i="4"/>
  <c r="R75" i="4"/>
  <c r="N75" i="4"/>
  <c r="M75" i="4"/>
  <c r="L75" i="4"/>
  <c r="K75" i="4"/>
  <c r="J75" i="4"/>
  <c r="I75" i="4"/>
  <c r="H75" i="4"/>
  <c r="C75" i="4"/>
  <c r="R74" i="4"/>
  <c r="N74" i="4"/>
  <c r="M74" i="4"/>
  <c r="L74" i="4"/>
  <c r="K74" i="4"/>
  <c r="J74" i="4"/>
  <c r="I74" i="4"/>
  <c r="H74" i="4"/>
  <c r="C74" i="4"/>
  <c r="R73" i="4"/>
  <c r="N73" i="4"/>
  <c r="M73" i="4"/>
  <c r="L73" i="4"/>
  <c r="K73" i="4"/>
  <c r="J73" i="4"/>
  <c r="I73" i="4"/>
  <c r="H73" i="4"/>
  <c r="C73" i="4"/>
  <c r="R72" i="4"/>
  <c r="N72" i="4"/>
  <c r="M72" i="4"/>
  <c r="L72" i="4"/>
  <c r="K72" i="4"/>
  <c r="J72" i="4"/>
  <c r="I72" i="4"/>
  <c r="H72" i="4"/>
  <c r="C72" i="4"/>
  <c r="R71" i="4"/>
  <c r="N71" i="4"/>
  <c r="M71" i="4"/>
  <c r="L71" i="4"/>
  <c r="K71" i="4"/>
  <c r="J71" i="4"/>
  <c r="I71" i="4"/>
  <c r="H71" i="4"/>
  <c r="C71" i="4"/>
  <c r="R70" i="4"/>
  <c r="N70" i="4"/>
  <c r="M70" i="4"/>
  <c r="L70" i="4"/>
  <c r="K70" i="4"/>
  <c r="J70" i="4"/>
  <c r="I70" i="4"/>
  <c r="H70" i="4"/>
  <c r="C70" i="4"/>
  <c r="R69" i="4"/>
  <c r="N69" i="4"/>
  <c r="M69" i="4"/>
  <c r="L69" i="4"/>
  <c r="K69" i="4"/>
  <c r="J69" i="4"/>
  <c r="I69" i="4"/>
  <c r="H69" i="4"/>
  <c r="C69" i="4"/>
  <c r="R68" i="4"/>
  <c r="N68" i="4"/>
  <c r="M68" i="4"/>
  <c r="L68" i="4"/>
  <c r="K68" i="4"/>
  <c r="J68" i="4"/>
  <c r="I68" i="4"/>
  <c r="H68" i="4"/>
  <c r="C68" i="4"/>
  <c r="R67" i="4"/>
  <c r="N67" i="4"/>
  <c r="M67" i="4"/>
  <c r="L67" i="4"/>
  <c r="K67" i="4"/>
  <c r="J67" i="4"/>
  <c r="I67" i="4"/>
  <c r="H67" i="4"/>
  <c r="C67" i="4"/>
  <c r="R66" i="4"/>
  <c r="N66" i="4"/>
  <c r="M66" i="4"/>
  <c r="L66" i="4"/>
  <c r="K66" i="4"/>
  <c r="J66" i="4"/>
  <c r="I66" i="4"/>
  <c r="H66" i="4"/>
  <c r="C66" i="4"/>
  <c r="R65" i="4"/>
  <c r="N65" i="4"/>
  <c r="M65" i="4"/>
  <c r="L65" i="4"/>
  <c r="K65" i="4"/>
  <c r="J65" i="4"/>
  <c r="I65" i="4"/>
  <c r="H65" i="4"/>
  <c r="C65" i="4"/>
  <c r="R64" i="4"/>
  <c r="N64" i="4"/>
  <c r="M64" i="4"/>
  <c r="L64" i="4"/>
  <c r="K64" i="4"/>
  <c r="J64" i="4"/>
  <c r="I64" i="4"/>
  <c r="H64" i="4"/>
  <c r="C64" i="4"/>
  <c r="R63" i="4"/>
  <c r="N63" i="4"/>
  <c r="M63" i="4"/>
  <c r="L63" i="4"/>
  <c r="K63" i="4"/>
  <c r="J63" i="4"/>
  <c r="I63" i="4"/>
  <c r="H63" i="4"/>
  <c r="C63" i="4"/>
  <c r="R62" i="4"/>
  <c r="N62" i="4"/>
  <c r="M62" i="4"/>
  <c r="L62" i="4"/>
  <c r="K62" i="4"/>
  <c r="J62" i="4"/>
  <c r="I62" i="4"/>
  <c r="H62" i="4"/>
  <c r="C62" i="4"/>
  <c r="R61" i="4"/>
  <c r="N61" i="4"/>
  <c r="M61" i="4"/>
  <c r="L61" i="4"/>
  <c r="K61" i="4"/>
  <c r="J61" i="4"/>
  <c r="I61" i="4"/>
  <c r="H61" i="4"/>
  <c r="C61" i="4"/>
  <c r="R60" i="4"/>
  <c r="N60" i="4"/>
  <c r="M60" i="4"/>
  <c r="L60" i="4"/>
  <c r="K60" i="4"/>
  <c r="J60" i="4"/>
  <c r="I60" i="4"/>
  <c r="H60" i="4"/>
  <c r="C60" i="4"/>
  <c r="R59" i="4"/>
  <c r="N59" i="4"/>
  <c r="M59" i="4"/>
  <c r="L59" i="4"/>
  <c r="K59" i="4"/>
  <c r="J59" i="4"/>
  <c r="I59" i="4"/>
  <c r="H59" i="4"/>
  <c r="C59" i="4"/>
  <c r="R58" i="4"/>
  <c r="N58" i="4"/>
  <c r="M58" i="4"/>
  <c r="L58" i="4"/>
  <c r="K58" i="4"/>
  <c r="J58" i="4"/>
  <c r="I58" i="4"/>
  <c r="H58" i="4"/>
  <c r="C58" i="4"/>
  <c r="R57" i="4"/>
  <c r="N57" i="4"/>
  <c r="M57" i="4"/>
  <c r="L57" i="4"/>
  <c r="K57" i="4"/>
  <c r="J57" i="4"/>
  <c r="I57" i="4"/>
  <c r="H57" i="4"/>
  <c r="C57" i="4"/>
  <c r="R56" i="4"/>
  <c r="N56" i="4"/>
  <c r="M56" i="4"/>
  <c r="L56" i="4"/>
  <c r="K56" i="4"/>
  <c r="J56" i="4"/>
  <c r="I56" i="4"/>
  <c r="H56" i="4"/>
  <c r="C56" i="4"/>
  <c r="R55" i="4"/>
  <c r="N55" i="4"/>
  <c r="M55" i="4"/>
  <c r="L55" i="4"/>
  <c r="K55" i="4"/>
  <c r="J55" i="4"/>
  <c r="I55" i="4"/>
  <c r="H55" i="4"/>
  <c r="C55" i="4"/>
  <c r="R54" i="4"/>
  <c r="N54" i="4"/>
  <c r="M54" i="4"/>
  <c r="L54" i="4"/>
  <c r="K54" i="4"/>
  <c r="J54" i="4"/>
  <c r="I54" i="4"/>
  <c r="H54" i="4"/>
  <c r="C54" i="4"/>
  <c r="R53" i="4"/>
  <c r="N53" i="4"/>
  <c r="M53" i="4"/>
  <c r="L53" i="4"/>
  <c r="K53" i="4"/>
  <c r="J53" i="4"/>
  <c r="I53" i="4"/>
  <c r="H53" i="4"/>
  <c r="C53" i="4"/>
  <c r="R52" i="4"/>
  <c r="N52" i="4"/>
  <c r="M52" i="4"/>
  <c r="L52" i="4"/>
  <c r="K52" i="4"/>
  <c r="J52" i="4"/>
  <c r="I52" i="4"/>
  <c r="H52" i="4"/>
  <c r="C52" i="4"/>
  <c r="R51" i="4"/>
  <c r="N51" i="4"/>
  <c r="M51" i="4"/>
  <c r="L51" i="4"/>
  <c r="K51" i="4"/>
  <c r="J51" i="4"/>
  <c r="I51" i="4"/>
  <c r="H51" i="4"/>
  <c r="C51" i="4"/>
  <c r="R50" i="4"/>
  <c r="N50" i="4"/>
  <c r="M50" i="4"/>
  <c r="L50" i="4"/>
  <c r="K50" i="4"/>
  <c r="J50" i="4"/>
  <c r="I50" i="4"/>
  <c r="H50" i="4"/>
  <c r="C50" i="4"/>
  <c r="R49" i="4"/>
  <c r="N49" i="4"/>
  <c r="M49" i="4"/>
  <c r="L49" i="4"/>
  <c r="K49" i="4"/>
  <c r="J49" i="4"/>
  <c r="I49" i="4"/>
  <c r="H49" i="4"/>
  <c r="C49" i="4"/>
  <c r="R48" i="4"/>
  <c r="N48" i="4"/>
  <c r="M48" i="4"/>
  <c r="L48" i="4"/>
  <c r="K48" i="4"/>
  <c r="J48" i="4"/>
  <c r="I48" i="4"/>
  <c r="H48" i="4"/>
  <c r="C48" i="4"/>
  <c r="R47" i="4"/>
  <c r="N47" i="4"/>
  <c r="M47" i="4"/>
  <c r="L47" i="4"/>
  <c r="K47" i="4"/>
  <c r="J47" i="4"/>
  <c r="I47" i="4"/>
  <c r="H47" i="4"/>
  <c r="C47" i="4"/>
  <c r="R46" i="4"/>
  <c r="N46" i="4"/>
  <c r="M46" i="4"/>
  <c r="L46" i="4"/>
  <c r="K46" i="4"/>
  <c r="J46" i="4"/>
  <c r="I46" i="4"/>
  <c r="H46" i="4"/>
  <c r="C46" i="4"/>
  <c r="R45" i="4"/>
  <c r="N45" i="4"/>
  <c r="M45" i="4"/>
  <c r="L45" i="4"/>
  <c r="K45" i="4"/>
  <c r="J45" i="4"/>
  <c r="I45" i="4"/>
  <c r="H45" i="4"/>
  <c r="C45" i="4"/>
  <c r="R44" i="4"/>
  <c r="N44" i="4"/>
  <c r="M44" i="4"/>
  <c r="L44" i="4"/>
  <c r="K44" i="4"/>
  <c r="J44" i="4"/>
  <c r="I44" i="4"/>
  <c r="H44" i="4"/>
  <c r="C44" i="4"/>
  <c r="R43" i="4"/>
  <c r="N43" i="4"/>
  <c r="M43" i="4"/>
  <c r="L43" i="4"/>
  <c r="K43" i="4"/>
  <c r="J43" i="4"/>
  <c r="I43" i="4"/>
  <c r="H43" i="4"/>
  <c r="C43" i="4"/>
  <c r="R42" i="4"/>
  <c r="N42" i="4"/>
  <c r="M42" i="4"/>
  <c r="L42" i="4"/>
  <c r="K42" i="4"/>
  <c r="J42" i="4"/>
  <c r="I42" i="4"/>
  <c r="H42" i="4"/>
  <c r="C42" i="4"/>
  <c r="R41" i="4"/>
  <c r="N41" i="4"/>
  <c r="M41" i="4"/>
  <c r="L41" i="4"/>
  <c r="K41" i="4"/>
  <c r="J41" i="4"/>
  <c r="I41" i="4"/>
  <c r="H41" i="4"/>
  <c r="C41" i="4"/>
  <c r="R40" i="4"/>
  <c r="N40" i="4"/>
  <c r="M40" i="4"/>
  <c r="L40" i="4"/>
  <c r="K40" i="4"/>
  <c r="J40" i="4"/>
  <c r="I40" i="4"/>
  <c r="H40" i="4"/>
  <c r="C40" i="4"/>
  <c r="R39" i="4"/>
  <c r="N39" i="4"/>
  <c r="M39" i="4"/>
  <c r="L39" i="4"/>
  <c r="K39" i="4"/>
  <c r="J39" i="4"/>
  <c r="I39" i="4"/>
  <c r="H39" i="4"/>
  <c r="C39" i="4"/>
  <c r="R38" i="4"/>
  <c r="N38" i="4"/>
  <c r="M38" i="4"/>
  <c r="L38" i="4"/>
  <c r="K38" i="4"/>
  <c r="J38" i="4"/>
  <c r="I38" i="4"/>
  <c r="H38" i="4"/>
  <c r="C38" i="4"/>
  <c r="R37" i="4"/>
  <c r="N37" i="4"/>
  <c r="M37" i="4"/>
  <c r="L37" i="4"/>
  <c r="K37" i="4"/>
  <c r="J37" i="4"/>
  <c r="I37" i="4"/>
  <c r="H37" i="4"/>
  <c r="C37" i="4"/>
  <c r="R36" i="4"/>
  <c r="N36" i="4"/>
  <c r="M36" i="4"/>
  <c r="L36" i="4"/>
  <c r="K36" i="4"/>
  <c r="J36" i="4"/>
  <c r="I36" i="4"/>
  <c r="H36" i="4"/>
  <c r="C36" i="4"/>
  <c r="R35" i="4"/>
  <c r="N35" i="4"/>
  <c r="M35" i="4"/>
  <c r="L35" i="4"/>
  <c r="K35" i="4"/>
  <c r="J35" i="4"/>
  <c r="I35" i="4"/>
  <c r="H35" i="4"/>
  <c r="C35" i="4"/>
  <c r="R34" i="4"/>
  <c r="N34" i="4"/>
  <c r="M34" i="4"/>
  <c r="L34" i="4"/>
  <c r="K34" i="4"/>
  <c r="J34" i="4"/>
  <c r="I34" i="4"/>
  <c r="H34" i="4"/>
  <c r="C34" i="4"/>
  <c r="R33" i="4"/>
  <c r="N33" i="4"/>
  <c r="M33" i="4"/>
  <c r="L33" i="4"/>
  <c r="K33" i="4"/>
  <c r="J33" i="4"/>
  <c r="I33" i="4"/>
  <c r="H33" i="4"/>
  <c r="C33" i="4"/>
  <c r="R32" i="4"/>
  <c r="N32" i="4"/>
  <c r="M32" i="4"/>
  <c r="L32" i="4"/>
  <c r="K32" i="4"/>
  <c r="J32" i="4"/>
  <c r="I32" i="4"/>
  <c r="H32" i="4"/>
  <c r="C32" i="4"/>
  <c r="R31" i="4"/>
  <c r="N31" i="4"/>
  <c r="M31" i="4"/>
  <c r="L31" i="4"/>
  <c r="K31" i="4"/>
  <c r="J31" i="4"/>
  <c r="I31" i="4"/>
  <c r="H31" i="4"/>
  <c r="C31" i="4"/>
  <c r="R30" i="4"/>
  <c r="N30" i="4"/>
  <c r="M30" i="4"/>
  <c r="L30" i="4"/>
  <c r="K30" i="4"/>
  <c r="J30" i="4"/>
  <c r="I30" i="4"/>
  <c r="H30" i="4"/>
  <c r="C30" i="4"/>
  <c r="R29" i="4"/>
  <c r="N29" i="4"/>
  <c r="M29" i="4"/>
  <c r="L29" i="4"/>
  <c r="K29" i="4"/>
  <c r="J29" i="4"/>
  <c r="I29" i="4"/>
  <c r="H29" i="4"/>
  <c r="C29" i="4"/>
  <c r="R28" i="4"/>
  <c r="N28" i="4"/>
  <c r="M28" i="4"/>
  <c r="L28" i="4"/>
  <c r="K28" i="4"/>
  <c r="J28" i="4"/>
  <c r="I28" i="4"/>
  <c r="H28" i="4"/>
  <c r="C28" i="4"/>
  <c r="R27" i="4"/>
  <c r="N27" i="4"/>
  <c r="M27" i="4"/>
  <c r="L27" i="4"/>
  <c r="K27" i="4"/>
  <c r="J27" i="4"/>
  <c r="I27" i="4"/>
  <c r="H27" i="4"/>
  <c r="C27" i="4"/>
  <c r="R26" i="4"/>
  <c r="N26" i="4"/>
  <c r="M26" i="4"/>
  <c r="L26" i="4"/>
  <c r="K26" i="4"/>
  <c r="J26" i="4"/>
  <c r="I26" i="4"/>
  <c r="H26" i="4"/>
  <c r="C26" i="4"/>
  <c r="R25" i="4"/>
  <c r="N25" i="4"/>
  <c r="M25" i="4"/>
  <c r="L25" i="4"/>
  <c r="K25" i="4"/>
  <c r="J25" i="4"/>
  <c r="I25" i="4"/>
  <c r="H25" i="4"/>
  <c r="C25" i="4"/>
  <c r="R24" i="4"/>
  <c r="N24" i="4"/>
  <c r="M24" i="4"/>
  <c r="L24" i="4"/>
  <c r="K24" i="4"/>
  <c r="J24" i="4"/>
  <c r="I24" i="4"/>
  <c r="H24" i="4"/>
  <c r="C24" i="4"/>
  <c r="B20" i="4"/>
  <c r="R5" i="4" s="1"/>
  <c r="G4" i="4"/>
  <c r="F4" i="4"/>
  <c r="E4" i="4"/>
  <c r="D4" i="4"/>
  <c r="C4" i="4"/>
  <c r="B4" i="4"/>
  <c r="B19" i="4"/>
  <c r="B18" i="4"/>
  <c r="C12" i="4" l="1"/>
  <c r="K12" i="4" s="1"/>
  <c r="E12" i="4"/>
  <c r="M12" i="4" s="1"/>
  <c r="G12" i="4"/>
  <c r="O12" i="4" s="1"/>
  <c r="D12" i="4"/>
  <c r="L12" i="4" s="1"/>
  <c r="F12" i="4"/>
  <c r="N12" i="4" s="1"/>
  <c r="B12" i="4"/>
  <c r="J12" i="4" s="1"/>
  <c r="K20" i="4"/>
  <c r="C14" i="4"/>
  <c r="K14" i="4" s="1"/>
  <c r="E14" i="4"/>
  <c r="M14" i="4" s="1"/>
  <c r="G14" i="4"/>
  <c r="O14" i="4" s="1"/>
  <c r="D14" i="4"/>
  <c r="L14" i="4" s="1"/>
  <c r="F14" i="4"/>
  <c r="N14" i="4" s="1"/>
  <c r="B14" i="4"/>
  <c r="J14" i="4" s="1"/>
  <c r="C13" i="4"/>
  <c r="K13" i="4" s="1"/>
  <c r="E13" i="4"/>
  <c r="M13" i="4" s="1"/>
  <c r="G13" i="4"/>
  <c r="O13" i="4" s="1"/>
  <c r="B13" i="4"/>
  <c r="J13" i="4" s="1"/>
  <c r="D13" i="4"/>
  <c r="L13" i="4" s="1"/>
  <c r="F13" i="4"/>
  <c r="N13" i="4" s="1"/>
  <c r="L19" i="4"/>
  <c r="C20" i="4"/>
  <c r="R4" i="4"/>
  <c r="F113" i="4" s="1"/>
  <c r="C19" i="4"/>
  <c r="I19" i="4"/>
  <c r="K19" i="4"/>
  <c r="E8" i="4" s="1"/>
  <c r="M8" i="4" s="1"/>
  <c r="M19" i="4"/>
  <c r="R19" i="4"/>
  <c r="H19" i="4"/>
  <c r="H20" i="4"/>
  <c r="J20" i="4"/>
  <c r="L20" i="4"/>
  <c r="N20" i="4"/>
  <c r="R20" i="4"/>
  <c r="D15" i="4" s="1"/>
  <c r="L15" i="4" s="1"/>
  <c r="E112" i="4"/>
  <c r="E110" i="4"/>
  <c r="E108" i="4"/>
  <c r="E106" i="4"/>
  <c r="E104" i="4"/>
  <c r="E102" i="4"/>
  <c r="E100" i="4"/>
  <c r="E93" i="4"/>
  <c r="E91" i="4"/>
  <c r="E89" i="4"/>
  <c r="E87" i="4"/>
  <c r="E85" i="4"/>
  <c r="E83" i="4"/>
  <c r="E81" i="4"/>
  <c r="E79" i="4"/>
  <c r="E77" i="4"/>
  <c r="E75" i="4"/>
  <c r="E73" i="4"/>
  <c r="E71" i="4"/>
  <c r="E69" i="4"/>
  <c r="E67" i="4"/>
  <c r="E65" i="4"/>
  <c r="E63" i="4"/>
  <c r="E61" i="4"/>
  <c r="E59" i="4"/>
  <c r="E57" i="4"/>
  <c r="E55" i="4"/>
  <c r="E111" i="4"/>
  <c r="E107" i="4"/>
  <c r="E103" i="4"/>
  <c r="E94" i="4"/>
  <c r="E90" i="4"/>
  <c r="E86" i="4"/>
  <c r="E82" i="4"/>
  <c r="E78" i="4"/>
  <c r="E74" i="4"/>
  <c r="E70" i="4"/>
  <c r="E66" i="4"/>
  <c r="E62" i="4"/>
  <c r="E58" i="4"/>
  <c r="E54" i="4"/>
  <c r="E52" i="4"/>
  <c r="E50" i="4"/>
  <c r="E48" i="4"/>
  <c r="E46" i="4"/>
  <c r="E44" i="4"/>
  <c r="E42" i="4"/>
  <c r="E40" i="4"/>
  <c r="E38" i="4"/>
  <c r="E36" i="4"/>
  <c r="E34" i="4"/>
  <c r="E32" i="4"/>
  <c r="E30" i="4"/>
  <c r="E28" i="4"/>
  <c r="E26" i="4"/>
  <c r="E24" i="4"/>
  <c r="R9" i="4"/>
  <c r="E113" i="4"/>
  <c r="E109" i="4"/>
  <c r="E105" i="4"/>
  <c r="E101" i="4"/>
  <c r="E92" i="4"/>
  <c r="E88" i="4"/>
  <c r="E84" i="4"/>
  <c r="E27" i="4"/>
  <c r="E31" i="4"/>
  <c r="E35" i="4"/>
  <c r="E39" i="4"/>
  <c r="E43" i="4"/>
  <c r="E47" i="4"/>
  <c r="E51" i="4"/>
  <c r="E56" i="4"/>
  <c r="E64" i="4"/>
  <c r="E72" i="4"/>
  <c r="E80" i="4"/>
  <c r="C8" i="4"/>
  <c r="K8" i="4" s="1"/>
  <c r="J19" i="4"/>
  <c r="N19" i="4"/>
  <c r="I20" i="4"/>
  <c r="G6" i="4" s="1"/>
  <c r="O6" i="4" s="1"/>
  <c r="M20" i="4"/>
  <c r="E25" i="4"/>
  <c r="E29" i="4"/>
  <c r="E33" i="4"/>
  <c r="E37" i="4"/>
  <c r="E41" i="4"/>
  <c r="E45" i="4"/>
  <c r="E49" i="4"/>
  <c r="E53" i="4"/>
  <c r="E60" i="4"/>
  <c r="E68" i="4"/>
  <c r="E76" i="4"/>
  <c r="B11" i="4" l="1"/>
  <c r="B9" i="4"/>
  <c r="J9" i="4" s="1"/>
  <c r="B8" i="4"/>
  <c r="J8" i="4" s="1"/>
  <c r="F8" i="4"/>
  <c r="N8" i="4" s="1"/>
  <c r="R10" i="4"/>
  <c r="G8" i="4"/>
  <c r="O8" i="4" s="1"/>
  <c r="D8" i="4"/>
  <c r="L8" i="4" s="1"/>
  <c r="C9" i="4"/>
  <c r="K9" i="4" s="1"/>
  <c r="D10" i="4"/>
  <c r="L10" i="4" s="1"/>
  <c r="F5" i="4"/>
  <c r="N5" i="4" s="1"/>
  <c r="C5" i="4"/>
  <c r="K5" i="4" s="1"/>
  <c r="D5" i="4"/>
  <c r="L5" i="4" s="1"/>
  <c r="F15" i="4"/>
  <c r="N15" i="4" s="1"/>
  <c r="E9" i="4"/>
  <c r="M9" i="4" s="1"/>
  <c r="E15" i="4"/>
  <c r="M15" i="4" s="1"/>
  <c r="F9" i="4"/>
  <c r="N9" i="4" s="1"/>
  <c r="E5" i="4"/>
  <c r="M5" i="4" s="1"/>
  <c r="R11" i="4"/>
  <c r="F57" i="4"/>
  <c r="F38" i="4"/>
  <c r="F73" i="4"/>
  <c r="F46" i="4"/>
  <c r="F30" i="4"/>
  <c r="C10" i="4"/>
  <c r="K10" i="4" s="1"/>
  <c r="G9" i="4"/>
  <c r="O9" i="4" s="1"/>
  <c r="B15" i="4"/>
  <c r="J15" i="4" s="1"/>
  <c r="F10" i="4"/>
  <c r="N10" i="4" s="1"/>
  <c r="G5" i="4"/>
  <c r="O5" i="4" s="1"/>
  <c r="G10" i="4"/>
  <c r="O10" i="4" s="1"/>
  <c r="C15" i="4"/>
  <c r="K15" i="4" s="1"/>
  <c r="G15" i="4"/>
  <c r="O15" i="4" s="1"/>
  <c r="D9" i="4"/>
  <c r="L9" i="4" s="1"/>
  <c r="B5" i="4"/>
  <c r="J5" i="4" s="1"/>
  <c r="G7" i="4"/>
  <c r="O7" i="4" s="1"/>
  <c r="E7" i="4"/>
  <c r="M7" i="4" s="1"/>
  <c r="C7" i="4"/>
  <c r="K7" i="4" s="1"/>
  <c r="F7" i="4"/>
  <c r="N7" i="4" s="1"/>
  <c r="B7" i="4"/>
  <c r="J7" i="4" s="1"/>
  <c r="D7" i="4"/>
  <c r="L7" i="4" s="1"/>
  <c r="F69" i="4"/>
  <c r="F52" i="4"/>
  <c r="F44" i="4"/>
  <c r="F36" i="4"/>
  <c r="F28" i="4"/>
  <c r="B6" i="4"/>
  <c r="J6" i="4" s="1"/>
  <c r="F6" i="4"/>
  <c r="N6" i="4" s="1"/>
  <c r="F85" i="4"/>
  <c r="F93" i="4"/>
  <c r="F106" i="4"/>
  <c r="F27" i="4"/>
  <c r="F31" i="4"/>
  <c r="F35" i="4"/>
  <c r="F39" i="4"/>
  <c r="F43" i="4"/>
  <c r="F47" i="4"/>
  <c r="F51" i="4"/>
  <c r="F55" i="4"/>
  <c r="F63" i="4"/>
  <c r="F71" i="4"/>
  <c r="F79" i="4"/>
  <c r="F87" i="4"/>
  <c r="F100" i="4"/>
  <c r="F108" i="4"/>
  <c r="F54" i="4"/>
  <c r="F58" i="4"/>
  <c r="F62" i="4"/>
  <c r="F66" i="4"/>
  <c r="F70" i="4"/>
  <c r="F74" i="4"/>
  <c r="F78" i="4"/>
  <c r="F82" i="4"/>
  <c r="F86" i="4"/>
  <c r="F90" i="4"/>
  <c r="F94" i="4"/>
  <c r="F103" i="4"/>
  <c r="F107" i="4"/>
  <c r="F111" i="4"/>
  <c r="C6" i="4"/>
  <c r="K6" i="4" s="1"/>
  <c r="F81" i="4"/>
  <c r="F65" i="4"/>
  <c r="F50" i="4"/>
  <c r="F42" i="4"/>
  <c r="F34" i="4"/>
  <c r="F26" i="4"/>
  <c r="F11" i="4"/>
  <c r="N11" i="4" s="1"/>
  <c r="D11" i="4"/>
  <c r="L11" i="4" s="1"/>
  <c r="J11" i="4"/>
  <c r="G11" i="4"/>
  <c r="O11" i="4" s="1"/>
  <c r="C11" i="4"/>
  <c r="K11" i="4" s="1"/>
  <c r="E11" i="4"/>
  <c r="M11" i="4" s="1"/>
  <c r="B10" i="4"/>
  <c r="J10" i="4" s="1"/>
  <c r="E6" i="4"/>
  <c r="M6" i="4" s="1"/>
  <c r="F77" i="4"/>
  <c r="F61" i="4"/>
  <c r="F48" i="4"/>
  <c r="F40" i="4"/>
  <c r="F32" i="4"/>
  <c r="E10" i="4"/>
  <c r="M10" i="4" s="1"/>
  <c r="D6" i="4"/>
  <c r="L6" i="4" s="1"/>
  <c r="F24" i="4"/>
  <c r="F89" i="4"/>
  <c r="F102" i="4"/>
  <c r="F110" i="4"/>
  <c r="F25" i="4"/>
  <c r="F29" i="4"/>
  <c r="F33" i="4"/>
  <c r="F37" i="4"/>
  <c r="F41" i="4"/>
  <c r="F45" i="4"/>
  <c r="F49" i="4"/>
  <c r="F53" i="4"/>
  <c r="F59" i="4"/>
  <c r="F67" i="4"/>
  <c r="F75" i="4"/>
  <c r="F83" i="4"/>
  <c r="F91" i="4"/>
  <c r="F104" i="4"/>
  <c r="F112" i="4"/>
  <c r="F56" i="4"/>
  <c r="F60" i="4"/>
  <c r="F64" i="4"/>
  <c r="F68" i="4"/>
  <c r="F72" i="4"/>
  <c r="F76" i="4"/>
  <c r="F80" i="4"/>
  <c r="F84" i="4"/>
  <c r="F88" i="4"/>
  <c r="F92" i="4"/>
  <c r="F101" i="4"/>
  <c r="F105" i="4"/>
  <c r="F109" i="4"/>
  <c r="D95" i="4" l="1"/>
  <c r="D97" i="4"/>
  <c r="D99" i="4"/>
  <c r="D98" i="4"/>
  <c r="D96" i="4"/>
  <c r="D25" i="4"/>
  <c r="D109" i="4"/>
  <c r="D88" i="4"/>
  <c r="D72" i="4"/>
  <c r="D56" i="4"/>
  <c r="D40" i="4"/>
  <c r="D24" i="4"/>
  <c r="D100" i="4"/>
  <c r="D79" i="4"/>
  <c r="D63" i="4"/>
  <c r="D47" i="4"/>
  <c r="D31" i="4"/>
  <c r="D101" i="4"/>
  <c r="D80" i="4"/>
  <c r="D64" i="4"/>
  <c r="D48" i="4"/>
  <c r="D32" i="4"/>
  <c r="D108" i="4"/>
  <c r="D87" i="4"/>
  <c r="D71" i="4"/>
  <c r="D55" i="4"/>
  <c r="D39" i="4"/>
  <c r="D105" i="4"/>
  <c r="D92" i="4"/>
  <c r="D84" i="4"/>
  <c r="D76" i="4"/>
  <c r="D68" i="4"/>
  <c r="D60" i="4"/>
  <c r="D52" i="4"/>
  <c r="D44" i="4"/>
  <c r="D36" i="4"/>
  <c r="D28" i="4"/>
  <c r="D112" i="4"/>
  <c r="D104" i="4"/>
  <c r="D91" i="4"/>
  <c r="D83" i="4"/>
  <c r="D75" i="4"/>
  <c r="D67" i="4"/>
  <c r="D59" i="4"/>
  <c r="D51" i="4"/>
  <c r="D43" i="4"/>
  <c r="D35" i="4"/>
  <c r="D27" i="4"/>
  <c r="D113" i="4"/>
  <c r="D111" i="4"/>
  <c r="D107" i="4"/>
  <c r="D103" i="4"/>
  <c r="D94" i="4"/>
  <c r="D90" i="4"/>
  <c r="D86" i="4"/>
  <c r="D82" i="4"/>
  <c r="D78" i="4"/>
  <c r="D74" i="4"/>
  <c r="D70" i="4"/>
  <c r="D66" i="4"/>
  <c r="D62" i="4"/>
  <c r="D58" i="4"/>
  <c r="D54" i="4"/>
  <c r="D50" i="4"/>
  <c r="D46" i="4"/>
  <c r="D42" i="4"/>
  <c r="D38" i="4"/>
  <c r="D34" i="4"/>
  <c r="D30" i="4"/>
  <c r="D26" i="4"/>
  <c r="D110" i="4"/>
  <c r="D106" i="4"/>
  <c r="D102" i="4"/>
  <c r="D93" i="4"/>
  <c r="D89" i="4"/>
  <c r="D85" i="4"/>
  <c r="D81" i="4"/>
  <c r="D77" i="4"/>
  <c r="D73" i="4"/>
  <c r="D69" i="4"/>
  <c r="D65" i="4"/>
  <c r="D61" i="4"/>
  <c r="D57" i="4"/>
  <c r="D53" i="4"/>
  <c r="D49" i="4"/>
  <c r="D45" i="4"/>
  <c r="D41" i="4"/>
  <c r="D37" i="4"/>
  <c r="D33" i="4"/>
  <c r="D29" i="4"/>
  <c r="F22" i="4"/>
</calcChain>
</file>

<file path=xl/sharedStrings.xml><?xml version="1.0" encoding="utf-8"?>
<sst xmlns="http://schemas.openxmlformats.org/spreadsheetml/2006/main" count="42" uniqueCount="38">
  <si>
    <t>Year</t>
  </si>
  <si>
    <t>Value</t>
  </si>
  <si>
    <t>log</t>
  </si>
  <si>
    <t xml:space="preserve">Mean </t>
  </si>
  <si>
    <t>Std Dev</t>
  </si>
  <si>
    <t>Count</t>
  </si>
  <si>
    <t>K</t>
  </si>
  <si>
    <t>xh</t>
  </si>
  <si>
    <t>xl</t>
  </si>
  <si>
    <t>Outlier</t>
  </si>
  <si>
    <t>d</t>
  </si>
  <si>
    <t>Intensities (mm/hr)</t>
  </si>
  <si>
    <t>Given</t>
  </si>
  <si>
    <t>Gumbel Fitted intensities</t>
  </si>
  <si>
    <t>Gumbel</t>
  </si>
  <si>
    <t>Chi</t>
  </si>
  <si>
    <t>Weibull</t>
  </si>
  <si>
    <t>Month</t>
  </si>
  <si>
    <t>Paste Summary data from Hydata at A2</t>
  </si>
  <si>
    <t>Delete information rows so data first data point is in row 2</t>
  </si>
  <si>
    <t>Delete data in columns D to H</t>
  </si>
  <si>
    <t>Delete info at end of data</t>
  </si>
  <si>
    <t>Press button</t>
  </si>
  <si>
    <t>UWI Field Station</t>
  </si>
  <si>
    <t>u</t>
  </si>
  <si>
    <t>a</t>
  </si>
  <si>
    <t>Parameters</t>
  </si>
  <si>
    <t>Outliers</t>
  </si>
  <si>
    <t>Copy and Paste Data into Output sheet</t>
  </si>
  <si>
    <t>Gumbel Fitted Durations</t>
  </si>
  <si>
    <t>2 Year</t>
  </si>
  <si>
    <t>5 Year</t>
  </si>
  <si>
    <t>10 Year</t>
  </si>
  <si>
    <t>25 Year</t>
  </si>
  <si>
    <t>50 Year</t>
  </si>
  <si>
    <t>100 Year</t>
  </si>
  <si>
    <t>Date</t>
  </si>
  <si>
    <t>Maximum Rainfall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</si>
</sst>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b/>
      <sz val="16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5" fillId="0" borderId="0" xfId="0" applyFont="1" applyAlignment="1">
      <alignment horizontal="left" vertical="center"/>
    </xf>
    <xf numFmtId="0" fontId="5" fillId="0" borderId="0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2" fontId="5" fillId="0" borderId="3" xfId="0" applyNumberFormat="1" applyFont="1" applyBorder="1" applyAlignment="1">
      <alignment horizontal="center" vertical="center"/>
    </xf>
    <xf numFmtId="2" fontId="5" fillId="0" borderId="1" xfId="0" applyNumberFormat="1" applyFont="1" applyFill="1" applyBorder="1" applyAlignment="1">
      <alignment horizontal="center" vertical="center"/>
    </xf>
    <xf numFmtId="1" fontId="5" fillId="0" borderId="1" xfId="0" applyNumberFormat="1" applyFont="1" applyFill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2" fontId="5" fillId="0" borderId="0" xfId="0" applyNumberFormat="1" applyFont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2" fontId="5" fillId="0" borderId="0" xfId="0" applyNumberFormat="1" applyFont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5" fontId="5" fillId="0" borderId="0" xfId="0" applyNumberFormat="1" applyFont="1" applyAlignment="1">
      <alignment horizontal="center" vertical="center"/>
    </xf>
    <xf numFmtId="15" fontId="5" fillId="0" borderId="0" xfId="0" applyNumberFormat="1" applyFont="1" applyFill="1" applyBorder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1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5" fontId="1" fillId="0" borderId="0" xfId="0" applyNumberFormat="1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2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200" b="1"/>
              <a:t>Water</a:t>
            </a:r>
            <a:r>
              <a:rPr lang="en-US" sz="1200" b="1" baseline="0"/>
              <a:t> and Sewerage Authority, Water Resources Agency</a:t>
            </a:r>
          </a:p>
          <a:p>
            <a:pPr>
              <a:defRPr/>
            </a:pPr>
            <a:r>
              <a:rPr lang="en-US" sz="1200" b="1" baseline="0"/>
              <a:t>Intensity Duration Frequency Curve </a:t>
            </a:r>
          </a:p>
          <a:p>
            <a:pPr>
              <a:defRPr/>
            </a:pPr>
            <a:r>
              <a:rPr lang="en-US" sz="1200" b="1" baseline="0"/>
              <a:t>UWI Field Station (9:60)</a:t>
            </a:r>
            <a:endParaRPr lang="en-GB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 Year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2700" cap="rnd">
                <a:solidFill>
                  <a:srgbClr val="00B0F0"/>
                </a:solidFill>
                <a:prstDash val="solid"/>
              </a:ln>
              <a:effectLst/>
            </c:spPr>
            <c:trendlineType val="power"/>
            <c:dispRSqr val="0"/>
            <c:dispEq val="0"/>
          </c:trendline>
          <c:xVal>
            <c:numRef>
              <c:f>Output!$A$5:$A$15</c:f>
              <c:numCache>
                <c:formatCode>General</c:formatCode>
                <c:ptCount val="11"/>
                <c:pt idx="0" formatCode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360</c:v>
                </c:pt>
                <c:pt idx="9">
                  <c:v>720</c:v>
                </c:pt>
                <c:pt idx="10">
                  <c:v>1440</c:v>
                </c:pt>
              </c:numCache>
            </c:numRef>
          </c:xVal>
          <c:yVal>
            <c:numRef>
              <c:f>Output!$B$5:$B$15</c:f>
              <c:numCache>
                <c:formatCode>0.00</c:formatCode>
                <c:ptCount val="11"/>
                <c:pt idx="0">
                  <c:v>131.009327386085</c:v>
                </c:pt>
                <c:pt idx="1">
                  <c:v>82.530704653148717</c:v>
                </c:pt>
                <c:pt idx="2">
                  <c:v>62.982715376281249</c:v>
                </c:pt>
                <c:pt idx="3">
                  <c:v>51.991086027579435</c:v>
                </c:pt>
                <c:pt idx="4">
                  <c:v>39.676624441057093</c:v>
                </c:pt>
                <c:pt idx="5">
                  <c:v>24.99470716103065</c:v>
                </c:pt>
                <c:pt idx="6">
                  <c:v>15.74567884407031</c:v>
                </c:pt>
                <c:pt idx="7">
                  <c:v>12.016201887651974</c:v>
                </c:pt>
                <c:pt idx="8">
                  <c:v>7.5697328490196201</c:v>
                </c:pt>
                <c:pt idx="9">
                  <c:v>4.7686328792802568</c:v>
                </c:pt>
                <c:pt idx="10">
                  <c:v>3.004050471912993</c:v>
                </c:pt>
              </c:numCache>
            </c:numRef>
          </c:yVal>
          <c:smooth val="1"/>
        </c:ser>
        <c:ser>
          <c:idx val="1"/>
          <c:order val="1"/>
          <c:tx>
            <c:v>5 Year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2700" cap="rnd">
                <a:solidFill>
                  <a:schemeClr val="accent2"/>
                </a:solidFill>
                <a:prstDash val="solid"/>
              </a:ln>
              <a:effectLst/>
            </c:spPr>
            <c:trendlineType val="power"/>
            <c:dispRSqr val="0"/>
            <c:dispEq val="0"/>
          </c:trendline>
          <c:xVal>
            <c:numRef>
              <c:f>Output!$A$5:$A$15</c:f>
              <c:numCache>
                <c:formatCode>General</c:formatCode>
                <c:ptCount val="11"/>
                <c:pt idx="0" formatCode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360</c:v>
                </c:pt>
                <c:pt idx="9">
                  <c:v>720</c:v>
                </c:pt>
                <c:pt idx="10">
                  <c:v>1440</c:v>
                </c:pt>
              </c:numCache>
            </c:numRef>
          </c:xVal>
          <c:yVal>
            <c:numRef>
              <c:f>Output!$C$5:$C$15</c:f>
              <c:numCache>
                <c:formatCode>0.00</c:formatCode>
                <c:ptCount val="11"/>
                <c:pt idx="0">
                  <c:v>171.24651943990281</c:v>
                </c:pt>
                <c:pt idx="1">
                  <c:v>107.87854728178257</c:v>
                </c:pt>
                <c:pt idx="2">
                  <c:v>82.326739692946404</c:v>
                </c:pt>
                <c:pt idx="3">
                  <c:v>67.959226276198606</c:v>
                </c:pt>
                <c:pt idx="4">
                  <c:v>51.862596154179485</c:v>
                </c:pt>
                <c:pt idx="5">
                  <c:v>32.6713882984238</c:v>
                </c:pt>
                <c:pt idx="6">
                  <c:v>20.58168492323659</c:v>
                </c:pt>
                <c:pt idx="7">
                  <c:v>15.706765244916078</c:v>
                </c:pt>
                <c:pt idx="8">
                  <c:v>9.8946420789134777</c:v>
                </c:pt>
                <c:pt idx="9">
                  <c:v>6.2332339181993293</c:v>
                </c:pt>
                <c:pt idx="10">
                  <c:v>3.9266913112290185</c:v>
                </c:pt>
              </c:numCache>
            </c:numRef>
          </c:yVal>
          <c:smooth val="1"/>
        </c:ser>
        <c:ser>
          <c:idx val="2"/>
          <c:order val="2"/>
          <c:tx>
            <c:v>10 Year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2700" cap="rnd">
                <a:solidFill>
                  <a:schemeClr val="accent3"/>
                </a:solidFill>
                <a:prstDash val="solid"/>
              </a:ln>
              <a:effectLst/>
            </c:spPr>
            <c:trendlineType val="power"/>
            <c:dispRSqr val="0"/>
            <c:dispEq val="0"/>
          </c:trendline>
          <c:xVal>
            <c:numRef>
              <c:f>Output!$A$5:$A$15</c:f>
              <c:numCache>
                <c:formatCode>General</c:formatCode>
                <c:ptCount val="11"/>
                <c:pt idx="0" formatCode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360</c:v>
                </c:pt>
                <c:pt idx="9">
                  <c:v>720</c:v>
                </c:pt>
                <c:pt idx="10">
                  <c:v>1440</c:v>
                </c:pt>
              </c:numCache>
            </c:numRef>
          </c:xVal>
          <c:yVal>
            <c:numRef>
              <c:f>Output!$D$5:$D$15</c:f>
              <c:numCache>
                <c:formatCode>0.00</c:formatCode>
                <c:ptCount val="11"/>
                <c:pt idx="0">
                  <c:v>197.88704173313516</c:v>
                </c:pt>
                <c:pt idx="1">
                  <c:v>124.66102469050109</c:v>
                </c:pt>
                <c:pt idx="2">
                  <c:v>95.134166969672847</c:v>
                </c:pt>
                <c:pt idx="3">
                  <c:v>78.531524554513396</c:v>
                </c:pt>
                <c:pt idx="4">
                  <c:v>59.930769764652219</c:v>
                </c:pt>
                <c:pt idx="5">
                  <c:v>37.754019181444228</c:v>
                </c:pt>
                <c:pt idx="6">
                  <c:v>23.783541742418194</c:v>
                </c:pt>
                <c:pt idx="7">
                  <c:v>18.150239313938545</c:v>
                </c:pt>
                <c:pt idx="8">
                  <c:v>11.433934286130313</c:v>
                </c:pt>
                <c:pt idx="9">
                  <c:v>7.202927245105144</c:v>
                </c:pt>
                <c:pt idx="10">
                  <c:v>4.5375598284846355</c:v>
                </c:pt>
              </c:numCache>
            </c:numRef>
          </c:yVal>
          <c:smooth val="1"/>
        </c:ser>
        <c:ser>
          <c:idx val="5"/>
          <c:order val="3"/>
          <c:tx>
            <c:v>25 Year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2700" cap="rnd">
                <a:solidFill>
                  <a:srgbClr val="00B050"/>
                </a:solidFill>
                <a:prstDash val="solid"/>
              </a:ln>
              <a:effectLst/>
            </c:spPr>
            <c:trendlineType val="power"/>
            <c:dispRSqr val="0"/>
            <c:dispEq val="0"/>
          </c:trendline>
          <c:xVal>
            <c:numRef>
              <c:f>Output!$A$5:$A$15</c:f>
              <c:numCache>
                <c:formatCode>General</c:formatCode>
                <c:ptCount val="11"/>
                <c:pt idx="0" formatCode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360</c:v>
                </c:pt>
                <c:pt idx="9">
                  <c:v>720</c:v>
                </c:pt>
                <c:pt idx="10">
                  <c:v>1440</c:v>
                </c:pt>
              </c:numCache>
            </c:numRef>
          </c:xVal>
          <c:yVal>
            <c:numRef>
              <c:f>Output!$E$5:$E$15</c:f>
              <c:numCache>
                <c:formatCode>0.00</c:formatCode>
                <c:ptCount val="11"/>
                <c:pt idx="0">
                  <c:v>231.54741227328964</c:v>
                </c:pt>
                <c:pt idx="1">
                  <c:v>145.86572938590203</c:v>
                </c:pt>
                <c:pt idx="2">
                  <c:v>111.31638528564818</c:v>
                </c:pt>
                <c:pt idx="3">
                  <c:v>91.889651455783522</c:v>
                </c:pt>
                <c:pt idx="4">
                  <c:v>70.124928509798096</c:v>
                </c:pt>
                <c:pt idx="5">
                  <c:v>44.175936775933792</c:v>
                </c:pt>
                <c:pt idx="6">
                  <c:v>27.82909632141202</c:v>
                </c:pt>
                <c:pt idx="7">
                  <c:v>21.237575277672612</c:v>
                </c:pt>
                <c:pt idx="8">
                  <c:v>13.378834070533316</c:v>
                </c:pt>
                <c:pt idx="9">
                  <c:v>8.4281373342578139</c:v>
                </c:pt>
                <c:pt idx="10">
                  <c:v>5.3093938194181511</c:v>
                </c:pt>
              </c:numCache>
            </c:numRef>
          </c:yVal>
          <c:smooth val="1"/>
        </c:ser>
        <c:ser>
          <c:idx val="6"/>
          <c:order val="4"/>
          <c:tx>
            <c:v>50 Year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2700" cap="rnd">
                <a:solidFill>
                  <a:schemeClr val="accent1">
                    <a:lumMod val="60000"/>
                  </a:schemeClr>
                </a:solidFill>
                <a:prstDash val="solid"/>
              </a:ln>
              <a:effectLst/>
            </c:spPr>
            <c:trendlineType val="power"/>
            <c:dispRSqr val="0"/>
            <c:dispEq val="0"/>
          </c:trendline>
          <c:xVal>
            <c:numRef>
              <c:f>Output!$A$5:$A$15</c:f>
              <c:numCache>
                <c:formatCode>General</c:formatCode>
                <c:ptCount val="11"/>
                <c:pt idx="0" formatCode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360</c:v>
                </c:pt>
                <c:pt idx="9">
                  <c:v>720</c:v>
                </c:pt>
                <c:pt idx="10">
                  <c:v>1440</c:v>
                </c:pt>
              </c:numCache>
            </c:numRef>
          </c:xVal>
          <c:yVal>
            <c:numRef>
              <c:f>Output!$F$5:$F$15</c:f>
              <c:numCache>
                <c:formatCode>0.00</c:formatCode>
                <c:ptCount val="11"/>
                <c:pt idx="0">
                  <c:v>256.51859801400929</c:v>
                </c:pt>
                <c:pt idx="1">
                  <c:v>161.59659066368567</c:v>
                </c:pt>
                <c:pt idx="2">
                  <c:v>123.32127925385464</c:v>
                </c:pt>
                <c:pt idx="3">
                  <c:v>101.7994730842114</c:v>
                </c:pt>
                <c:pt idx="4">
                  <c:v>77.687537815947778</c:v>
                </c:pt>
                <c:pt idx="5">
                  <c:v>48.940082104408177</c:v>
                </c:pt>
                <c:pt idx="6">
                  <c:v>30.830319813463632</c:v>
                </c:pt>
                <c:pt idx="7">
                  <c:v>23.527937461964036</c:v>
                </c:pt>
                <c:pt idx="8">
                  <c:v>14.82167183446929</c:v>
                </c:pt>
                <c:pt idx="9">
                  <c:v>9.3370681694409061</c:v>
                </c:pt>
                <c:pt idx="10">
                  <c:v>5.8819843654910065</c:v>
                </c:pt>
              </c:numCache>
            </c:numRef>
          </c:yVal>
          <c:smooth val="1"/>
        </c:ser>
        <c:ser>
          <c:idx val="7"/>
          <c:order val="5"/>
          <c:tx>
            <c:v>100 Year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trendline>
            <c:spPr>
              <a:ln w="12700" cap="rnd">
                <a:solidFill>
                  <a:srgbClr val="FF0000"/>
                </a:solidFill>
                <a:prstDash val="solid"/>
              </a:ln>
              <a:effectLst/>
            </c:spPr>
            <c:trendlineType val="power"/>
            <c:dispRSqr val="0"/>
            <c:dispEq val="0"/>
          </c:trendline>
          <c:xVal>
            <c:numRef>
              <c:f>Output!$A$5:$A$15</c:f>
              <c:numCache>
                <c:formatCode>General</c:formatCode>
                <c:ptCount val="11"/>
                <c:pt idx="0" formatCode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360</c:v>
                </c:pt>
                <c:pt idx="9">
                  <c:v>720</c:v>
                </c:pt>
                <c:pt idx="10">
                  <c:v>1440</c:v>
                </c:pt>
              </c:numCache>
            </c:numRef>
          </c:xVal>
          <c:yVal>
            <c:numRef>
              <c:f>Output!$G$5:$G$15</c:f>
              <c:numCache>
                <c:formatCode>0.00</c:formatCode>
                <c:ptCount val="11"/>
                <c:pt idx="0">
                  <c:v>281.3054004389673</c:v>
                </c:pt>
                <c:pt idx="1">
                  <c:v>177.21129773108061</c:v>
                </c:pt>
                <c:pt idx="2">
                  <c:v>135.23753096941812</c:v>
                </c:pt>
                <c:pt idx="3">
                  <c:v>111.63612214528794</c:v>
                </c:pt>
                <c:pt idx="4">
                  <c:v>85.194306002089945</c:v>
                </c:pt>
                <c:pt idx="5">
                  <c:v>53.669049731608993</c:v>
                </c:pt>
                <c:pt idx="6">
                  <c:v>33.809382742354487</c:v>
                </c:pt>
                <c:pt idx="7">
                  <c:v>25.801387971406715</c:v>
                </c:pt>
                <c:pt idx="8">
                  <c:v>16.25385591083981</c:v>
                </c:pt>
                <c:pt idx="9">
                  <c:v>10.239287602012638</c:v>
                </c:pt>
                <c:pt idx="10">
                  <c:v>6.4503469928516761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617896"/>
        <c:axId val="303618288"/>
      </c:scatterChart>
      <c:valAx>
        <c:axId val="30361789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Duration (minutes)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03618288"/>
        <c:crossesAt val="1.0000000000000002E-2"/>
        <c:crossBetween val="midCat"/>
      </c:valAx>
      <c:valAx>
        <c:axId val="30361828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Intensity (mm/hr)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03617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200" b="1"/>
              <a:t>Water</a:t>
            </a:r>
            <a:r>
              <a:rPr lang="en-US" sz="1200" b="1" baseline="0"/>
              <a:t> and Sewerage Authority, Water Resources Agency</a:t>
            </a:r>
          </a:p>
          <a:p>
            <a:pPr>
              <a:defRPr/>
            </a:pPr>
            <a:r>
              <a:rPr lang="en-US" sz="1200" b="1" baseline="0"/>
              <a:t>Depth Duration Frequency Curve</a:t>
            </a:r>
          </a:p>
          <a:p>
            <a:pPr>
              <a:defRPr/>
            </a:pPr>
            <a:r>
              <a:rPr lang="en-US" sz="1200" b="1" baseline="0"/>
              <a:t>UWI Field Station (9:60)</a:t>
            </a:r>
            <a:endParaRPr lang="en-GB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Output!$J$4</c:f>
              <c:strCache>
                <c:ptCount val="1"/>
                <c:pt idx="0">
                  <c:v>2 Year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Output!$I$5:$I$15</c:f>
              <c:numCache>
                <c:formatCode>General</c:formatCode>
                <c:ptCount val="11"/>
                <c:pt idx="0" formatCode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360</c:v>
                </c:pt>
                <c:pt idx="9">
                  <c:v>720</c:v>
                </c:pt>
                <c:pt idx="10">
                  <c:v>1440</c:v>
                </c:pt>
              </c:numCache>
            </c:numRef>
          </c:xVal>
          <c:yVal>
            <c:numRef>
              <c:f>Output!$J$5:$J$15</c:f>
              <c:numCache>
                <c:formatCode>0.00</c:formatCode>
                <c:ptCount val="11"/>
                <c:pt idx="0">
                  <c:v>10.917443948840418</c:v>
                </c:pt>
                <c:pt idx="1">
                  <c:v>13.755117442191453</c:v>
                </c:pt>
                <c:pt idx="2">
                  <c:v>15.74567884407031</c:v>
                </c:pt>
                <c:pt idx="3">
                  <c:v>17.330362009193145</c:v>
                </c:pt>
                <c:pt idx="4">
                  <c:v>19.838312220528547</c:v>
                </c:pt>
                <c:pt idx="5">
                  <c:v>24.99470716103065</c:v>
                </c:pt>
                <c:pt idx="6">
                  <c:v>31.491357688140621</c:v>
                </c:pt>
                <c:pt idx="7">
                  <c:v>36.048605662955922</c:v>
                </c:pt>
                <c:pt idx="8">
                  <c:v>45.418397094117715</c:v>
                </c:pt>
                <c:pt idx="9">
                  <c:v>57.223594551363078</c:v>
                </c:pt>
                <c:pt idx="10">
                  <c:v>72.097211325911829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Output!$K$4</c:f>
              <c:strCache>
                <c:ptCount val="1"/>
                <c:pt idx="0">
                  <c:v>5 Year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Output!$I$5:$I$15</c:f>
              <c:numCache>
                <c:formatCode>General</c:formatCode>
                <c:ptCount val="11"/>
                <c:pt idx="0" formatCode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360</c:v>
                </c:pt>
                <c:pt idx="9">
                  <c:v>720</c:v>
                </c:pt>
                <c:pt idx="10">
                  <c:v>1440</c:v>
                </c:pt>
              </c:numCache>
            </c:numRef>
          </c:xVal>
          <c:yVal>
            <c:numRef>
              <c:f>Output!$K$5:$K$15</c:f>
              <c:numCache>
                <c:formatCode>0.00</c:formatCode>
                <c:ptCount val="11"/>
                <c:pt idx="0">
                  <c:v>14.270543286658569</c:v>
                </c:pt>
                <c:pt idx="1">
                  <c:v>17.979757880297097</c:v>
                </c:pt>
                <c:pt idx="2">
                  <c:v>20.581684923236601</c:v>
                </c:pt>
                <c:pt idx="3">
                  <c:v>22.653075425399535</c:v>
                </c:pt>
                <c:pt idx="4">
                  <c:v>25.931298077089743</c:v>
                </c:pt>
                <c:pt idx="5">
                  <c:v>32.6713882984238</c:v>
                </c:pt>
                <c:pt idx="6">
                  <c:v>41.163369846473181</c:v>
                </c:pt>
                <c:pt idx="7">
                  <c:v>47.120295734748233</c:v>
                </c:pt>
                <c:pt idx="8">
                  <c:v>59.367852473480859</c:v>
                </c:pt>
                <c:pt idx="9">
                  <c:v>74.798807018391955</c:v>
                </c:pt>
                <c:pt idx="10">
                  <c:v>94.240591469496437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Output!$L$4</c:f>
              <c:strCache>
                <c:ptCount val="1"/>
                <c:pt idx="0">
                  <c:v>10 Year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Output!$I$5:$I$15</c:f>
              <c:numCache>
                <c:formatCode>General</c:formatCode>
                <c:ptCount val="11"/>
                <c:pt idx="0" formatCode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360</c:v>
                </c:pt>
                <c:pt idx="9">
                  <c:v>720</c:v>
                </c:pt>
                <c:pt idx="10">
                  <c:v>1440</c:v>
                </c:pt>
              </c:numCache>
            </c:numRef>
          </c:xVal>
          <c:yVal>
            <c:numRef>
              <c:f>Output!$L$5:$L$15</c:f>
              <c:numCache>
                <c:formatCode>0.00</c:formatCode>
                <c:ptCount val="11"/>
                <c:pt idx="0">
                  <c:v>16.490586811094595</c:v>
                </c:pt>
                <c:pt idx="1">
                  <c:v>20.776837448416849</c:v>
                </c:pt>
                <c:pt idx="2">
                  <c:v>23.783541742418212</c:v>
                </c:pt>
                <c:pt idx="3">
                  <c:v>26.177174851504464</c:v>
                </c:pt>
                <c:pt idx="4">
                  <c:v>29.965384882326109</c:v>
                </c:pt>
                <c:pt idx="5">
                  <c:v>37.754019181444228</c:v>
                </c:pt>
                <c:pt idx="6">
                  <c:v>47.567083484836388</c:v>
                </c:pt>
                <c:pt idx="7">
                  <c:v>54.45071794181564</c:v>
                </c:pt>
                <c:pt idx="8">
                  <c:v>68.603605716781871</c:v>
                </c:pt>
                <c:pt idx="9">
                  <c:v>86.435126941261728</c:v>
                </c:pt>
                <c:pt idx="10">
                  <c:v>108.90143588363125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Output!$M$4</c:f>
              <c:strCache>
                <c:ptCount val="1"/>
                <c:pt idx="0">
                  <c:v>25 Year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Output!$I$5:$I$15</c:f>
              <c:numCache>
                <c:formatCode>General</c:formatCode>
                <c:ptCount val="11"/>
                <c:pt idx="0" formatCode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360</c:v>
                </c:pt>
                <c:pt idx="9">
                  <c:v>720</c:v>
                </c:pt>
                <c:pt idx="10">
                  <c:v>1440</c:v>
                </c:pt>
              </c:numCache>
            </c:numRef>
          </c:xVal>
          <c:yVal>
            <c:numRef>
              <c:f>Output!$M$5:$M$15</c:f>
              <c:numCache>
                <c:formatCode>0.00</c:formatCode>
                <c:ptCount val="11"/>
                <c:pt idx="0">
                  <c:v>19.295617689440803</c:v>
                </c:pt>
                <c:pt idx="1">
                  <c:v>24.31095489765034</c:v>
                </c:pt>
                <c:pt idx="2">
                  <c:v>27.829096321412045</c:v>
                </c:pt>
                <c:pt idx="3">
                  <c:v>30.629883818594507</c:v>
                </c:pt>
                <c:pt idx="4">
                  <c:v>35.062464254899048</c:v>
                </c:pt>
                <c:pt idx="5">
                  <c:v>44.175936775933792</c:v>
                </c:pt>
                <c:pt idx="6">
                  <c:v>55.658192642824041</c:v>
                </c:pt>
                <c:pt idx="7">
                  <c:v>63.712725833017835</c:v>
                </c:pt>
                <c:pt idx="8">
                  <c:v>80.273004423199893</c:v>
                </c:pt>
                <c:pt idx="9">
                  <c:v>101.13764801109376</c:v>
                </c:pt>
                <c:pt idx="10">
                  <c:v>127.42545166603563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Output!$N$4</c:f>
              <c:strCache>
                <c:ptCount val="1"/>
                <c:pt idx="0">
                  <c:v>50 Year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Output!$I$5:$I$15</c:f>
              <c:numCache>
                <c:formatCode>General</c:formatCode>
                <c:ptCount val="11"/>
                <c:pt idx="0" formatCode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360</c:v>
                </c:pt>
                <c:pt idx="9">
                  <c:v>720</c:v>
                </c:pt>
                <c:pt idx="10">
                  <c:v>1440</c:v>
                </c:pt>
              </c:numCache>
            </c:numRef>
          </c:xVal>
          <c:yVal>
            <c:numRef>
              <c:f>Output!$N$5:$N$15</c:f>
              <c:numCache>
                <c:formatCode>0.00</c:formatCode>
                <c:ptCount val="11"/>
                <c:pt idx="0">
                  <c:v>21.376549834500771</c:v>
                </c:pt>
                <c:pt idx="1">
                  <c:v>26.932765110614277</c:v>
                </c:pt>
                <c:pt idx="2">
                  <c:v>30.83031981346366</c:v>
                </c:pt>
                <c:pt idx="3">
                  <c:v>33.933157694737133</c:v>
                </c:pt>
                <c:pt idx="4">
                  <c:v>38.843768907973889</c:v>
                </c:pt>
                <c:pt idx="5">
                  <c:v>48.940082104408177</c:v>
                </c:pt>
                <c:pt idx="6">
                  <c:v>61.660639626927264</c:v>
                </c:pt>
                <c:pt idx="7">
                  <c:v>70.583812385892116</c:v>
                </c:pt>
                <c:pt idx="8">
                  <c:v>88.930031006815739</c:v>
                </c:pt>
                <c:pt idx="9">
                  <c:v>112.04481803329088</c:v>
                </c:pt>
                <c:pt idx="10">
                  <c:v>141.16762477178415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Output!$O$4</c:f>
              <c:strCache>
                <c:ptCount val="1"/>
                <c:pt idx="0">
                  <c:v>100 Year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Output!$I$5:$I$15</c:f>
              <c:numCache>
                <c:formatCode>General</c:formatCode>
                <c:ptCount val="11"/>
                <c:pt idx="0" formatCode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360</c:v>
                </c:pt>
                <c:pt idx="9">
                  <c:v>720</c:v>
                </c:pt>
                <c:pt idx="10">
                  <c:v>1440</c:v>
                </c:pt>
              </c:numCache>
            </c:numRef>
          </c:xVal>
          <c:yVal>
            <c:numRef>
              <c:f>Output!$O$5:$O$15</c:f>
              <c:numCache>
                <c:formatCode>0.00</c:formatCode>
                <c:ptCount val="11"/>
                <c:pt idx="0">
                  <c:v>23.442116703247272</c:v>
                </c:pt>
                <c:pt idx="1">
                  <c:v>29.535216288513432</c:v>
                </c:pt>
                <c:pt idx="2">
                  <c:v>33.809382742354529</c:v>
                </c:pt>
                <c:pt idx="3">
                  <c:v>37.212040715095981</c:v>
                </c:pt>
                <c:pt idx="4">
                  <c:v>42.597153001044973</c:v>
                </c:pt>
                <c:pt idx="5">
                  <c:v>53.669049731608993</c:v>
                </c:pt>
                <c:pt idx="6">
                  <c:v>67.618765484708973</c:v>
                </c:pt>
                <c:pt idx="7">
                  <c:v>77.404163914220149</c:v>
                </c:pt>
                <c:pt idx="8">
                  <c:v>97.523135465038877</c:v>
                </c:pt>
                <c:pt idx="9">
                  <c:v>122.87145122415166</c:v>
                </c:pt>
                <c:pt idx="10">
                  <c:v>154.80832782844021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619072"/>
        <c:axId val="302048576"/>
      </c:scatterChart>
      <c:valAx>
        <c:axId val="30361907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Duration (minutes)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02048576"/>
        <c:crossesAt val="1.0000000000000002E-2"/>
        <c:crossBetween val="midCat"/>
      </c:valAx>
      <c:valAx>
        <c:axId val="30204857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03619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"/>
  <sheetViews>
    <sheetView zoomScale="73" workbookViewId="0" zoomToFit="1"/>
  </sheetViews>
  <pageMargins left="0.25" right="0.25" top="0.75" bottom="0.75" header="0.3" footer="0.3"/>
  <pageSetup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73" workbookViewId="0" zoomToFit="1"/>
  </sheetViews>
  <pageMargins left="0.25" right="0.25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695325</xdr:colOff>
          <xdr:row>19</xdr:row>
          <xdr:rowOff>9525</xdr:rowOff>
        </xdr:from>
        <xdr:to>
          <xdr:col>14</xdr:col>
          <xdr:colOff>685800</xdr:colOff>
          <xdr:row>23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Yay!!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485856" cy="627606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485856" cy="627606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1437"/>
  <sheetViews>
    <sheetView tabSelected="1" workbookViewId="0">
      <selection activeCell="A2" sqref="A2:XFD19"/>
    </sheetView>
  </sheetViews>
  <sheetFormatPr defaultColWidth="10.7109375" defaultRowHeight="12.75" x14ac:dyDescent="0.25"/>
  <cols>
    <col min="1" max="8" width="10.7109375" style="31"/>
    <col min="9" max="16384" width="10.7109375" style="12"/>
  </cols>
  <sheetData>
    <row r="1" spans="1:26" s="20" customFormat="1" ht="25.5" x14ac:dyDescent="0.25">
      <c r="A1" s="25" t="s">
        <v>0</v>
      </c>
      <c r="B1" s="25" t="s">
        <v>17</v>
      </c>
      <c r="C1" s="25" t="s">
        <v>1</v>
      </c>
      <c r="D1" s="30"/>
      <c r="E1" s="30" t="s">
        <v>36</v>
      </c>
      <c r="F1" s="30" t="s">
        <v>37</v>
      </c>
      <c r="G1" s="30"/>
      <c r="H1" s="30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</row>
    <row r="2" spans="1:26" s="20" customFormat="1" x14ac:dyDescent="0.25">
      <c r="A2" s="25"/>
      <c r="B2" s="25"/>
      <c r="C2" s="25"/>
      <c r="D2" s="30"/>
      <c r="E2" s="30"/>
      <c r="F2" s="30"/>
      <c r="G2" s="30"/>
      <c r="H2" s="30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</row>
    <row r="3" spans="1:26" s="20" customFormat="1" x14ac:dyDescent="0.25">
      <c r="A3" s="25"/>
      <c r="B3" s="25"/>
      <c r="C3" s="25"/>
      <c r="D3" s="30"/>
      <c r="E3" s="30"/>
      <c r="F3" s="30"/>
      <c r="G3" s="30"/>
      <c r="H3" s="30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</row>
    <row r="4" spans="1:26" s="20" customFormat="1" x14ac:dyDescent="0.25">
      <c r="A4" s="25"/>
      <c r="B4" s="25"/>
      <c r="C4" s="25"/>
      <c r="D4" s="30"/>
      <c r="E4" s="30"/>
      <c r="F4" s="30"/>
      <c r="G4" s="30"/>
      <c r="H4" s="30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</row>
    <row r="5" spans="1:26" s="20" customFormat="1" x14ac:dyDescent="0.25">
      <c r="A5" s="25"/>
      <c r="B5" s="25"/>
      <c r="C5" s="25"/>
      <c r="D5" s="30"/>
      <c r="E5" s="30"/>
      <c r="F5" s="30"/>
      <c r="G5" s="30"/>
      <c r="H5" s="30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</row>
    <row r="6" spans="1:26" s="20" customFormat="1" x14ac:dyDescent="0.25">
      <c r="A6" s="25"/>
      <c r="B6" s="25"/>
      <c r="C6" s="25"/>
      <c r="D6" s="30"/>
      <c r="E6" s="30"/>
      <c r="F6" s="30"/>
      <c r="G6" s="30"/>
      <c r="H6" s="30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</row>
    <row r="7" spans="1:26" s="20" customFormat="1" x14ac:dyDescent="0.25">
      <c r="A7" s="25"/>
      <c r="B7" s="25"/>
      <c r="C7" s="25"/>
      <c r="D7" s="30"/>
      <c r="E7" s="30"/>
      <c r="F7" s="30"/>
      <c r="G7" s="30"/>
      <c r="H7" s="30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</row>
    <row r="8" spans="1:26" s="20" customFormat="1" x14ac:dyDescent="0.25">
      <c r="A8" s="25"/>
      <c r="B8" s="25"/>
      <c r="C8" s="25"/>
      <c r="D8" s="30"/>
      <c r="E8" s="30"/>
      <c r="F8" s="30"/>
      <c r="G8" s="30"/>
      <c r="H8" s="30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</row>
    <row r="9" spans="1:26" s="20" customFormat="1" x14ac:dyDescent="0.25">
      <c r="A9" s="25"/>
      <c r="B9" s="25"/>
      <c r="C9" s="25"/>
      <c r="D9" s="30"/>
      <c r="E9" s="30"/>
      <c r="F9" s="30"/>
      <c r="G9" s="30"/>
      <c r="H9" s="30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</row>
    <row r="10" spans="1:26" s="20" customFormat="1" x14ac:dyDescent="0.25">
      <c r="A10" s="25"/>
      <c r="B10" s="25"/>
      <c r="C10" s="25"/>
      <c r="D10" s="30"/>
      <c r="E10" s="30"/>
      <c r="F10" s="30"/>
      <c r="G10" s="30"/>
      <c r="H10" s="30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</row>
    <row r="11" spans="1:26" s="20" customFormat="1" x14ac:dyDescent="0.25">
      <c r="A11" s="25"/>
      <c r="B11" s="25"/>
      <c r="C11" s="25"/>
      <c r="D11" s="30"/>
      <c r="E11" s="30"/>
      <c r="F11" s="30"/>
      <c r="G11" s="30"/>
      <c r="H11" s="30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</row>
    <row r="12" spans="1:26" s="20" customFormat="1" x14ac:dyDescent="0.25">
      <c r="A12" s="25"/>
      <c r="B12" s="25"/>
      <c r="C12" s="25"/>
      <c r="D12" s="30"/>
      <c r="E12" s="30"/>
      <c r="F12" s="30"/>
      <c r="G12" s="30"/>
      <c r="H12" s="30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</row>
    <row r="13" spans="1:26" s="20" customFormat="1" x14ac:dyDescent="0.25">
      <c r="A13" s="25"/>
      <c r="B13" s="25"/>
      <c r="C13" s="25"/>
      <c r="D13" s="30"/>
      <c r="E13" s="30"/>
      <c r="F13" s="30"/>
      <c r="G13" s="30"/>
      <c r="H13" s="30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</row>
    <row r="14" spans="1:26" s="20" customFormat="1" x14ac:dyDescent="0.25">
      <c r="A14" s="25"/>
      <c r="B14" s="25"/>
      <c r="C14" s="25"/>
      <c r="D14" s="30"/>
      <c r="E14" s="30"/>
      <c r="F14" s="30"/>
      <c r="G14" s="30"/>
      <c r="H14" s="30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</row>
    <row r="15" spans="1:26" s="20" customFormat="1" x14ac:dyDescent="0.25">
      <c r="A15" s="25"/>
      <c r="B15" s="25"/>
      <c r="C15" s="25"/>
      <c r="D15" s="30"/>
      <c r="E15" s="30"/>
      <c r="F15" s="30"/>
      <c r="G15" s="30"/>
      <c r="H15" s="30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</row>
    <row r="16" spans="1:26" s="20" customFormat="1" x14ac:dyDescent="0.25">
      <c r="A16" s="25"/>
      <c r="B16" s="25"/>
      <c r="C16" s="25"/>
      <c r="D16" s="30"/>
      <c r="E16" s="30"/>
      <c r="F16" s="30"/>
      <c r="G16" s="30"/>
      <c r="H16" s="30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</row>
    <row r="17" spans="1:26" s="20" customFormat="1" x14ac:dyDescent="0.25">
      <c r="A17" s="25"/>
      <c r="B17" s="25"/>
      <c r="C17" s="25"/>
      <c r="D17" s="30"/>
      <c r="E17" s="30"/>
      <c r="F17" s="30"/>
      <c r="G17" s="30"/>
      <c r="H17" s="30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</row>
    <row r="18" spans="1:26" s="20" customFormat="1" x14ac:dyDescent="0.25">
      <c r="A18" s="25"/>
      <c r="B18" s="25"/>
      <c r="C18" s="25"/>
      <c r="D18" s="30"/>
      <c r="E18" s="30"/>
      <c r="F18" s="30"/>
      <c r="G18" s="30"/>
      <c r="H18" s="30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</row>
    <row r="19" spans="1:26" s="20" customFormat="1" x14ac:dyDescent="0.25">
      <c r="A19" s="25"/>
      <c r="B19" s="25"/>
      <c r="C19" s="25"/>
      <c r="D19" s="30"/>
      <c r="E19" s="30"/>
      <c r="F19" s="30"/>
      <c r="G19" s="30"/>
      <c r="H19" s="30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</row>
    <row r="20" spans="1:26" x14ac:dyDescent="0.25">
      <c r="I20" s="1" t="s">
        <v>18</v>
      </c>
    </row>
    <row r="21" spans="1:26" x14ac:dyDescent="0.25">
      <c r="I21" s="1" t="s">
        <v>19</v>
      </c>
    </row>
    <row r="22" spans="1:26" x14ac:dyDescent="0.25">
      <c r="I22" s="1" t="s">
        <v>20</v>
      </c>
    </row>
    <row r="23" spans="1:26" x14ac:dyDescent="0.25">
      <c r="I23" s="1" t="s">
        <v>21</v>
      </c>
    </row>
    <row r="24" spans="1:26" x14ac:dyDescent="0.25">
      <c r="I24" s="1" t="s">
        <v>22</v>
      </c>
    </row>
    <row r="25" spans="1:26" x14ac:dyDescent="0.25">
      <c r="I25" s="1" t="s">
        <v>28</v>
      </c>
    </row>
    <row r="153" spans="4:7" x14ac:dyDescent="0.25">
      <c r="D153" s="32"/>
      <c r="G153" s="32"/>
    </row>
    <row r="1407" spans="4:7" x14ac:dyDescent="0.25">
      <c r="D1407" s="32"/>
      <c r="G1407" s="32"/>
    </row>
    <row r="1437" spans="4:7" x14ac:dyDescent="0.25">
      <c r="D1437" s="32"/>
      <c r="G1437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nnualmaximum">
                <anchor moveWithCells="1" sizeWithCells="1">
                  <from>
                    <xdr:col>12</xdr:col>
                    <xdr:colOff>695325</xdr:colOff>
                    <xdr:row>19</xdr:row>
                    <xdr:rowOff>9525</xdr:rowOff>
                  </from>
                  <to>
                    <xdr:col>14</xdr:col>
                    <xdr:colOff>685800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87"/>
  <sheetViews>
    <sheetView workbookViewId="0">
      <selection sqref="A1:R1"/>
    </sheetView>
  </sheetViews>
  <sheetFormatPr defaultRowHeight="12.75" x14ac:dyDescent="0.25"/>
  <cols>
    <col min="1" max="1" width="9.42578125" style="12" bestFit="1" customWidth="1"/>
    <col min="2" max="2" width="11.85546875" style="12" bestFit="1" customWidth="1"/>
    <col min="3" max="3" width="10" style="12" bestFit="1" customWidth="1"/>
    <col min="4" max="5" width="10.85546875" style="12" bestFit="1" customWidth="1"/>
    <col min="6" max="6" width="11.85546875" style="12" customWidth="1"/>
    <col min="7" max="7" width="10.85546875" style="2" bestFit="1" customWidth="1"/>
    <col min="8" max="13" width="11.85546875" style="12" bestFit="1" customWidth="1"/>
    <col min="14" max="14" width="10" style="12" bestFit="1" customWidth="1"/>
    <col min="15" max="15" width="10" style="12" customWidth="1"/>
    <col min="16" max="16" width="10" style="12" bestFit="1" customWidth="1"/>
    <col min="17" max="17" width="10" style="12" customWidth="1"/>
    <col min="18" max="18" width="10.85546875" style="12" bestFit="1" customWidth="1"/>
    <col min="19" max="27" width="9.140625" style="12"/>
    <col min="28" max="28" width="0" style="12" hidden="1" customWidth="1"/>
    <col min="29" max="16384" width="9.140625" style="12"/>
  </cols>
  <sheetData>
    <row r="1" spans="1:18" s="1" customFormat="1" ht="20.25" x14ac:dyDescent="0.25">
      <c r="A1" s="34" t="s">
        <v>23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</row>
    <row r="2" spans="1:18" s="1" customFormat="1" x14ac:dyDescent="0.25">
      <c r="A2" s="2"/>
      <c r="B2" s="35" t="s">
        <v>13</v>
      </c>
      <c r="C2" s="35"/>
      <c r="D2" s="35"/>
      <c r="E2" s="35"/>
      <c r="F2" s="35"/>
      <c r="G2" s="35"/>
    </row>
    <row r="3" spans="1:18" s="1" customFormat="1" x14ac:dyDescent="0.25">
      <c r="A3" s="2"/>
      <c r="B3" s="24">
        <v>2</v>
      </c>
      <c r="C3" s="4">
        <v>5</v>
      </c>
      <c r="D3" s="4">
        <v>10</v>
      </c>
      <c r="E3" s="5">
        <v>25</v>
      </c>
      <c r="F3" s="5">
        <v>50</v>
      </c>
      <c r="G3" s="5">
        <v>100</v>
      </c>
      <c r="I3" s="2"/>
      <c r="J3" s="36" t="s">
        <v>29</v>
      </c>
      <c r="K3" s="36"/>
      <c r="L3" s="36"/>
      <c r="M3" s="36"/>
      <c r="N3" s="36"/>
      <c r="O3" s="36"/>
      <c r="Q3" s="36" t="s">
        <v>26</v>
      </c>
      <c r="R3" s="36"/>
    </row>
    <row r="4" spans="1:18" s="1" customFormat="1" x14ac:dyDescent="0.25">
      <c r="A4" s="7" t="s">
        <v>10</v>
      </c>
      <c r="B4" s="8">
        <f t="shared" ref="B4:G4" si="0">-(SQRT(6)/PI())*(0.5772+LN(LN(B3/(B3-1))))</f>
        <v>-0.16427204188374181</v>
      </c>
      <c r="C4" s="6">
        <f t="shared" si="0"/>
        <v>0.7194574160467988</v>
      </c>
      <c r="D4" s="6">
        <f t="shared" si="0"/>
        <v>1.3045632130342124</v>
      </c>
      <c r="E4" s="9">
        <f t="shared" si="0"/>
        <v>2.0438459386132064</v>
      </c>
      <c r="F4" s="9">
        <f t="shared" si="0"/>
        <v>2.5922880965305142</v>
      </c>
      <c r="G4" s="9">
        <f t="shared" si="0"/>
        <v>3.1366806436431842</v>
      </c>
      <c r="I4" s="7"/>
      <c r="J4" s="26" t="s">
        <v>30</v>
      </c>
      <c r="K4" s="27" t="s">
        <v>31</v>
      </c>
      <c r="L4" s="27" t="s">
        <v>32</v>
      </c>
      <c r="M4" s="28" t="s">
        <v>33</v>
      </c>
      <c r="N4" s="28" t="s">
        <v>34</v>
      </c>
      <c r="O4" s="28" t="s">
        <v>35</v>
      </c>
      <c r="Q4" s="3" t="s">
        <v>24</v>
      </c>
      <c r="R4" s="11">
        <f>B19-0.45*R5</f>
        <v>67.418417241479943</v>
      </c>
    </row>
    <row r="5" spans="1:18" s="1" customFormat="1" x14ac:dyDescent="0.25">
      <c r="A5" s="10">
        <v>5</v>
      </c>
      <c r="B5" s="8">
        <f t="shared" ref="B5:G5" si="1">$H$19+B$4*$H$20</f>
        <v>131.009327386085</v>
      </c>
      <c r="C5" s="6">
        <f t="shared" si="1"/>
        <v>171.24651943990281</v>
      </c>
      <c r="D5" s="6">
        <f t="shared" si="1"/>
        <v>197.88704173313516</v>
      </c>
      <c r="E5" s="6">
        <f t="shared" si="1"/>
        <v>231.54741227328964</v>
      </c>
      <c r="F5" s="6">
        <f t="shared" si="1"/>
        <v>256.51859801400929</v>
      </c>
      <c r="G5" s="6">
        <f t="shared" si="1"/>
        <v>281.3054004389673</v>
      </c>
      <c r="I5" s="10">
        <v>5</v>
      </c>
      <c r="J5" s="8">
        <f t="shared" ref="J5:J15" si="2">B5/60*$A5</f>
        <v>10.917443948840418</v>
      </c>
      <c r="K5" s="8">
        <f t="shared" ref="K5:K15" si="3">C5/60*$A5</f>
        <v>14.270543286658569</v>
      </c>
      <c r="L5" s="8">
        <f t="shared" ref="L5:L15" si="4">D5/60*$A5</f>
        <v>16.490586811094595</v>
      </c>
      <c r="M5" s="8">
        <f t="shared" ref="M5:M15" si="5">E5/60*$A5</f>
        <v>19.295617689440803</v>
      </c>
      <c r="N5" s="8">
        <f t="shared" ref="N5:N15" si="6">F5/60*$A5</f>
        <v>21.376549834500771</v>
      </c>
      <c r="O5" s="8">
        <f t="shared" ref="O5:O15" si="7">G5/60*$A5</f>
        <v>23.442116703247272</v>
      </c>
      <c r="Q5" s="3" t="s">
        <v>25</v>
      </c>
      <c r="R5" s="11">
        <f>0.78*B20</f>
        <v>19.544257981896433</v>
      </c>
    </row>
    <row r="6" spans="1:18" s="1" customFormat="1" x14ac:dyDescent="0.25">
      <c r="A6" s="5">
        <v>10</v>
      </c>
      <c r="B6" s="8">
        <f t="shared" ref="B6:G6" si="8">$I$19+B$4*$I$20</f>
        <v>82.530704653148717</v>
      </c>
      <c r="C6" s="6">
        <f t="shared" si="8"/>
        <v>107.87854728178257</v>
      </c>
      <c r="D6" s="6">
        <f t="shared" si="8"/>
        <v>124.66102469050109</v>
      </c>
      <c r="E6" s="6">
        <f t="shared" si="8"/>
        <v>145.86572938590203</v>
      </c>
      <c r="F6" s="6">
        <f t="shared" si="8"/>
        <v>161.59659066368567</v>
      </c>
      <c r="G6" s="6">
        <f t="shared" si="8"/>
        <v>177.21129773108061</v>
      </c>
      <c r="I6" s="5">
        <v>10</v>
      </c>
      <c r="J6" s="8">
        <f t="shared" si="2"/>
        <v>13.755117442191453</v>
      </c>
      <c r="K6" s="8">
        <f t="shared" si="3"/>
        <v>17.979757880297097</v>
      </c>
      <c r="L6" s="8">
        <f t="shared" si="4"/>
        <v>20.776837448416849</v>
      </c>
      <c r="M6" s="8">
        <f t="shared" si="5"/>
        <v>24.31095489765034</v>
      </c>
      <c r="N6" s="8">
        <f t="shared" si="6"/>
        <v>26.932765110614277</v>
      </c>
      <c r="O6" s="8">
        <f t="shared" si="7"/>
        <v>29.535216288513432</v>
      </c>
    </row>
    <row r="7" spans="1:18" s="1" customFormat="1" x14ac:dyDescent="0.25">
      <c r="A7" s="5">
        <v>15</v>
      </c>
      <c r="B7" s="8">
        <f t="shared" ref="B7:G7" si="9">$J$19+B$4*$J$20</f>
        <v>62.982715376281249</v>
      </c>
      <c r="C7" s="6">
        <f t="shared" si="9"/>
        <v>82.326739692946404</v>
      </c>
      <c r="D7" s="6">
        <f t="shared" si="9"/>
        <v>95.134166969672847</v>
      </c>
      <c r="E7" s="6">
        <f t="shared" si="9"/>
        <v>111.31638528564818</v>
      </c>
      <c r="F7" s="6">
        <f t="shared" si="9"/>
        <v>123.32127925385464</v>
      </c>
      <c r="G7" s="6">
        <f t="shared" si="9"/>
        <v>135.23753096941812</v>
      </c>
      <c r="I7" s="5">
        <v>15</v>
      </c>
      <c r="J7" s="8">
        <f t="shared" si="2"/>
        <v>15.74567884407031</v>
      </c>
      <c r="K7" s="8">
        <f t="shared" si="3"/>
        <v>20.581684923236601</v>
      </c>
      <c r="L7" s="8">
        <f t="shared" si="4"/>
        <v>23.783541742418212</v>
      </c>
      <c r="M7" s="8">
        <f t="shared" si="5"/>
        <v>27.829096321412045</v>
      </c>
      <c r="N7" s="8">
        <f t="shared" si="6"/>
        <v>30.83031981346366</v>
      </c>
      <c r="O7" s="8">
        <f t="shared" si="7"/>
        <v>33.809382742354529</v>
      </c>
    </row>
    <row r="8" spans="1:18" s="1" customFormat="1" x14ac:dyDescent="0.25">
      <c r="A8" s="5">
        <v>20</v>
      </c>
      <c r="B8" s="8">
        <f t="shared" ref="B8:G8" si="10">$K$19+B$4*$K$20</f>
        <v>51.991086027579435</v>
      </c>
      <c r="C8" s="6">
        <f t="shared" si="10"/>
        <v>67.959226276198606</v>
      </c>
      <c r="D8" s="6">
        <f t="shared" si="10"/>
        <v>78.531524554513396</v>
      </c>
      <c r="E8" s="6">
        <f t="shared" si="10"/>
        <v>91.889651455783522</v>
      </c>
      <c r="F8" s="6">
        <f t="shared" si="10"/>
        <v>101.7994730842114</v>
      </c>
      <c r="G8" s="6">
        <f t="shared" si="10"/>
        <v>111.63612214528794</v>
      </c>
      <c r="I8" s="5">
        <v>20</v>
      </c>
      <c r="J8" s="8">
        <f t="shared" si="2"/>
        <v>17.330362009193145</v>
      </c>
      <c r="K8" s="8">
        <f t="shared" si="3"/>
        <v>22.653075425399535</v>
      </c>
      <c r="L8" s="8">
        <f t="shared" si="4"/>
        <v>26.177174851504464</v>
      </c>
      <c r="M8" s="8">
        <f t="shared" si="5"/>
        <v>30.629883818594507</v>
      </c>
      <c r="N8" s="8">
        <f t="shared" si="6"/>
        <v>33.933157694737133</v>
      </c>
      <c r="O8" s="8">
        <f t="shared" si="7"/>
        <v>37.212040715095981</v>
      </c>
      <c r="Q8" s="36" t="s">
        <v>27</v>
      </c>
      <c r="R8" s="36"/>
    </row>
    <row r="9" spans="1:18" s="1" customFormat="1" x14ac:dyDescent="0.25">
      <c r="A9" s="5">
        <v>30</v>
      </c>
      <c r="B9" s="8">
        <f t="shared" ref="B9:G9" si="11">$L$19+B$4*$L$20</f>
        <v>39.676624441057093</v>
      </c>
      <c r="C9" s="6">
        <f t="shared" si="11"/>
        <v>51.862596154179485</v>
      </c>
      <c r="D9" s="6">
        <f t="shared" si="11"/>
        <v>59.930769764652219</v>
      </c>
      <c r="E9" s="6">
        <f t="shared" si="11"/>
        <v>70.124928509798096</v>
      </c>
      <c r="F9" s="6">
        <f t="shared" si="11"/>
        <v>77.687537815947778</v>
      </c>
      <c r="G9" s="6">
        <f t="shared" si="11"/>
        <v>85.194306002089945</v>
      </c>
      <c r="I9" s="5">
        <v>30</v>
      </c>
      <c r="J9" s="8">
        <f t="shared" si="2"/>
        <v>19.838312220528547</v>
      </c>
      <c r="K9" s="8">
        <f t="shared" si="3"/>
        <v>25.931298077089743</v>
      </c>
      <c r="L9" s="8">
        <f t="shared" si="4"/>
        <v>29.965384882326109</v>
      </c>
      <c r="M9" s="8">
        <f t="shared" si="5"/>
        <v>35.062464254899048</v>
      </c>
      <c r="N9" s="8">
        <f t="shared" si="6"/>
        <v>38.843768907973889</v>
      </c>
      <c r="O9" s="8">
        <f t="shared" si="7"/>
        <v>42.597153001044973</v>
      </c>
      <c r="Q9" s="3" t="s">
        <v>6</v>
      </c>
      <c r="R9" s="6">
        <f>-3.62201+6.23446*B18^0.25-2.47832*B18^0.5+0.491436*B18^0.75-0.037911*B18</f>
        <v>3.0169822508294977</v>
      </c>
    </row>
    <row r="10" spans="1:18" s="1" customFormat="1" x14ac:dyDescent="0.25">
      <c r="A10" s="5">
        <v>60</v>
      </c>
      <c r="B10" s="8">
        <f t="shared" ref="B10:G10" si="12">$M$19+B$4*$M$20</f>
        <v>24.99470716103065</v>
      </c>
      <c r="C10" s="6">
        <f t="shared" si="12"/>
        <v>32.6713882984238</v>
      </c>
      <c r="D10" s="6">
        <f t="shared" si="12"/>
        <v>37.754019181444228</v>
      </c>
      <c r="E10" s="6">
        <f t="shared" si="12"/>
        <v>44.175936775933792</v>
      </c>
      <c r="F10" s="6">
        <f t="shared" si="12"/>
        <v>48.940082104408177</v>
      </c>
      <c r="G10" s="6">
        <f t="shared" si="12"/>
        <v>53.669049731608993</v>
      </c>
      <c r="I10" s="5">
        <v>60</v>
      </c>
      <c r="J10" s="8">
        <f t="shared" si="2"/>
        <v>24.99470716103065</v>
      </c>
      <c r="K10" s="8">
        <f t="shared" si="3"/>
        <v>32.6713882984238</v>
      </c>
      <c r="L10" s="8">
        <f t="shared" si="4"/>
        <v>37.754019181444228</v>
      </c>
      <c r="M10" s="8">
        <f t="shared" si="5"/>
        <v>44.175936775933792</v>
      </c>
      <c r="N10" s="8">
        <f t="shared" si="6"/>
        <v>48.940082104408177</v>
      </c>
      <c r="O10" s="8">
        <f t="shared" si="7"/>
        <v>53.669049731608993</v>
      </c>
      <c r="Q10" s="3" t="s">
        <v>7</v>
      </c>
      <c r="R10" s="6">
        <f>$C$19+$R$9*$C$20</f>
        <v>2.2496261419447028</v>
      </c>
    </row>
    <row r="11" spans="1:18" s="1" customFormat="1" x14ac:dyDescent="0.25">
      <c r="A11" s="5">
        <v>120</v>
      </c>
      <c r="B11" s="8">
        <f t="shared" ref="B11:G11" si="13">$N$19+B$4*$N$20</f>
        <v>15.74567884407031</v>
      </c>
      <c r="C11" s="6">
        <f t="shared" si="13"/>
        <v>20.58168492323659</v>
      </c>
      <c r="D11" s="6">
        <f t="shared" si="13"/>
        <v>23.783541742418194</v>
      </c>
      <c r="E11" s="6">
        <f t="shared" si="13"/>
        <v>27.82909632141202</v>
      </c>
      <c r="F11" s="6">
        <f t="shared" si="13"/>
        <v>30.830319813463632</v>
      </c>
      <c r="G11" s="6">
        <f t="shared" si="13"/>
        <v>33.809382742354487</v>
      </c>
      <c r="I11" s="5">
        <v>120</v>
      </c>
      <c r="J11" s="8">
        <f t="shared" si="2"/>
        <v>31.491357688140621</v>
      </c>
      <c r="K11" s="8">
        <f t="shared" si="3"/>
        <v>41.163369846473181</v>
      </c>
      <c r="L11" s="8">
        <f t="shared" si="4"/>
        <v>47.567083484836388</v>
      </c>
      <c r="M11" s="8">
        <f t="shared" si="5"/>
        <v>55.658192642824041</v>
      </c>
      <c r="N11" s="8">
        <f t="shared" si="6"/>
        <v>61.660639626927264</v>
      </c>
      <c r="O11" s="8">
        <f t="shared" si="7"/>
        <v>67.618765484708973</v>
      </c>
      <c r="Q11" s="3" t="s">
        <v>8</v>
      </c>
      <c r="R11" s="6">
        <f>$C$19-$R$9*$C$20</f>
        <v>1.474540699967767</v>
      </c>
    </row>
    <row r="12" spans="1:18" s="1" customFormat="1" x14ac:dyDescent="0.25">
      <c r="A12" s="5">
        <v>180</v>
      </c>
      <c r="B12" s="8">
        <f>$O$19+B$4*$O$20</f>
        <v>12.016201887651974</v>
      </c>
      <c r="C12" s="8">
        <f t="shared" ref="C12:G12" si="14">$O$19+C$4*$O$20</f>
        <v>15.706765244916078</v>
      </c>
      <c r="D12" s="8">
        <f t="shared" si="14"/>
        <v>18.150239313938545</v>
      </c>
      <c r="E12" s="8">
        <f t="shared" si="14"/>
        <v>21.237575277672612</v>
      </c>
      <c r="F12" s="8">
        <f t="shared" si="14"/>
        <v>23.527937461964036</v>
      </c>
      <c r="G12" s="8">
        <f t="shared" si="14"/>
        <v>25.801387971406715</v>
      </c>
      <c r="I12" s="5">
        <v>180</v>
      </c>
      <c r="J12" s="8">
        <f t="shared" si="2"/>
        <v>36.048605662955922</v>
      </c>
      <c r="K12" s="8">
        <f t="shared" si="3"/>
        <v>47.120295734748233</v>
      </c>
      <c r="L12" s="8">
        <f t="shared" si="4"/>
        <v>54.45071794181564</v>
      </c>
      <c r="M12" s="8">
        <f t="shared" si="5"/>
        <v>63.712725833017835</v>
      </c>
      <c r="N12" s="8">
        <f t="shared" si="6"/>
        <v>70.583812385892116</v>
      </c>
      <c r="O12" s="8">
        <f t="shared" si="7"/>
        <v>77.404163914220149</v>
      </c>
    </row>
    <row r="13" spans="1:18" s="1" customFormat="1" x14ac:dyDescent="0.25">
      <c r="A13" s="5">
        <v>360</v>
      </c>
      <c r="B13" s="8">
        <f t="shared" ref="B13:G13" si="15">$P$19+B$4*$P$20</f>
        <v>7.5697328490196201</v>
      </c>
      <c r="C13" s="6">
        <f t="shared" si="15"/>
        <v>9.8946420789134777</v>
      </c>
      <c r="D13" s="6">
        <f t="shared" si="15"/>
        <v>11.433934286130313</v>
      </c>
      <c r="E13" s="6">
        <f t="shared" si="15"/>
        <v>13.378834070533316</v>
      </c>
      <c r="F13" s="6">
        <f t="shared" si="15"/>
        <v>14.82167183446929</v>
      </c>
      <c r="G13" s="6">
        <f t="shared" si="15"/>
        <v>16.25385591083981</v>
      </c>
      <c r="I13" s="5">
        <v>360</v>
      </c>
      <c r="J13" s="8">
        <f t="shared" si="2"/>
        <v>45.418397094117715</v>
      </c>
      <c r="K13" s="8">
        <f t="shared" si="3"/>
        <v>59.367852473480859</v>
      </c>
      <c r="L13" s="8">
        <f t="shared" si="4"/>
        <v>68.603605716781871</v>
      </c>
      <c r="M13" s="8">
        <f t="shared" si="5"/>
        <v>80.273004423199893</v>
      </c>
      <c r="N13" s="8">
        <f t="shared" si="6"/>
        <v>88.930031006815739</v>
      </c>
      <c r="O13" s="8">
        <f t="shared" si="7"/>
        <v>97.523135465038877</v>
      </c>
    </row>
    <row r="14" spans="1:18" s="1" customFormat="1" x14ac:dyDescent="0.25">
      <c r="A14" s="5">
        <v>720</v>
      </c>
      <c r="B14" s="8">
        <f>$Q$19+B$4*$Q$20</f>
        <v>4.7686328792802568</v>
      </c>
      <c r="C14" s="8">
        <f t="shared" ref="C14:G14" si="16">$Q$19+C$4*$Q$20</f>
        <v>6.2332339181993293</v>
      </c>
      <c r="D14" s="8">
        <f t="shared" si="16"/>
        <v>7.202927245105144</v>
      </c>
      <c r="E14" s="8">
        <f t="shared" si="16"/>
        <v>8.4281373342578139</v>
      </c>
      <c r="F14" s="8">
        <f t="shared" si="16"/>
        <v>9.3370681694409061</v>
      </c>
      <c r="G14" s="8">
        <f t="shared" si="16"/>
        <v>10.239287602012638</v>
      </c>
      <c r="I14" s="5">
        <v>720</v>
      </c>
      <c r="J14" s="8">
        <f t="shared" si="2"/>
        <v>57.223594551363078</v>
      </c>
      <c r="K14" s="8">
        <f t="shared" si="3"/>
        <v>74.798807018391955</v>
      </c>
      <c r="L14" s="8">
        <f t="shared" si="4"/>
        <v>86.435126941261728</v>
      </c>
      <c r="M14" s="8">
        <f t="shared" si="5"/>
        <v>101.13764801109376</v>
      </c>
      <c r="N14" s="8">
        <f t="shared" si="6"/>
        <v>112.04481803329088</v>
      </c>
      <c r="O14" s="8">
        <f t="shared" si="7"/>
        <v>122.87145122415166</v>
      </c>
    </row>
    <row r="15" spans="1:18" s="1" customFormat="1" x14ac:dyDescent="0.25">
      <c r="A15" s="5">
        <v>1440</v>
      </c>
      <c r="B15" s="8">
        <f t="shared" ref="B15:G15" si="17">$R$19+B$4*$R$20</f>
        <v>3.004050471912993</v>
      </c>
      <c r="C15" s="6">
        <f t="shared" si="17"/>
        <v>3.9266913112290185</v>
      </c>
      <c r="D15" s="6">
        <f t="shared" si="17"/>
        <v>4.5375598284846355</v>
      </c>
      <c r="E15" s="6">
        <f t="shared" si="17"/>
        <v>5.3093938194181511</v>
      </c>
      <c r="F15" s="6">
        <f t="shared" si="17"/>
        <v>5.8819843654910065</v>
      </c>
      <c r="G15" s="6">
        <f t="shared" si="17"/>
        <v>6.4503469928516761</v>
      </c>
      <c r="I15" s="5">
        <v>1440</v>
      </c>
      <c r="J15" s="8">
        <f t="shared" si="2"/>
        <v>72.097211325911829</v>
      </c>
      <c r="K15" s="8">
        <f t="shared" si="3"/>
        <v>94.240591469496437</v>
      </c>
      <c r="L15" s="8">
        <f t="shared" si="4"/>
        <v>108.90143588363125</v>
      </c>
      <c r="M15" s="8">
        <f t="shared" si="5"/>
        <v>127.42545166603563</v>
      </c>
      <c r="N15" s="8">
        <f t="shared" si="6"/>
        <v>141.16762477178415</v>
      </c>
      <c r="O15" s="8">
        <f t="shared" si="7"/>
        <v>154.80832782844021</v>
      </c>
    </row>
    <row r="16" spans="1:18" s="1" customFormat="1" x14ac:dyDescent="0.25">
      <c r="G16" s="13"/>
    </row>
    <row r="18" spans="1:18" x14ac:dyDescent="0.25">
      <c r="A18" s="3" t="s">
        <v>5</v>
      </c>
      <c r="B18" s="4">
        <f>COUNT(B24:B113)</f>
        <v>90</v>
      </c>
      <c r="C18" s="4"/>
    </row>
    <row r="19" spans="1:18" x14ac:dyDescent="0.25">
      <c r="A19" s="3" t="s">
        <v>3</v>
      </c>
      <c r="B19" s="6">
        <f>AVERAGE(B24:B113)</f>
        <v>76.213333333333338</v>
      </c>
      <c r="C19" s="6">
        <f>AVERAGE(C24:C113)</f>
        <v>1.8620834209562349</v>
      </c>
      <c r="F19" s="14"/>
      <c r="G19" s="7" t="s">
        <v>3</v>
      </c>
      <c r="H19" s="8">
        <f t="shared" ref="H19:R19" si="18">AVERAGE(H24:H113)</f>
        <v>138.4888174483801</v>
      </c>
      <c r="I19" s="6">
        <f t="shared" si="18"/>
        <v>87.242488139131268</v>
      </c>
      <c r="J19" s="6">
        <f t="shared" si="18"/>
        <v>66.578479152435804</v>
      </c>
      <c r="K19" s="6">
        <f t="shared" si="18"/>
        <v>54.959323625847667</v>
      </c>
      <c r="L19" s="6">
        <f t="shared" si="18"/>
        <v>41.9418136770704</v>
      </c>
      <c r="M19" s="6">
        <f t="shared" si="18"/>
        <v>26.421686961254867</v>
      </c>
      <c r="N19" s="6">
        <f t="shared" si="18"/>
        <v>16.644619788108947</v>
      </c>
      <c r="O19" s="6">
        <f t="shared" si="18"/>
        <v>12.70222222222222</v>
      </c>
      <c r="P19" s="6">
        <f t="shared" si="18"/>
        <v>8.0018985791101063</v>
      </c>
      <c r="Q19" s="6">
        <f t="shared" si="18"/>
        <v>5.0408802294723509</v>
      </c>
      <c r="R19" s="6">
        <f t="shared" si="18"/>
        <v>3.1755555555555546</v>
      </c>
    </row>
    <row r="20" spans="1:18" x14ac:dyDescent="0.25">
      <c r="A20" s="3" t="s">
        <v>4</v>
      </c>
      <c r="B20" s="6">
        <f>_xlfn.STDEV.S(B24:B113)</f>
        <v>25.056741002431323</v>
      </c>
      <c r="C20" s="6">
        <f>_xlfn.STDEV.S(C24:C113)</f>
        <v>0.12845376232555419</v>
      </c>
      <c r="D20" s="15"/>
      <c r="E20" s="16"/>
      <c r="F20" s="14"/>
      <c r="G20" s="7" t="s">
        <v>4</v>
      </c>
      <c r="H20" s="8">
        <f t="shared" ref="H20:R20" si="19">_xlfn.STDEV.S(H24:H113)</f>
        <v>45.531120064779351</v>
      </c>
      <c r="I20" s="6">
        <f t="shared" si="19"/>
        <v>28.682808297453132</v>
      </c>
      <c r="J20" s="6">
        <f t="shared" si="19"/>
        <v>21.889079449681034</v>
      </c>
      <c r="K20" s="6">
        <f t="shared" si="19"/>
        <v>18.069036972030229</v>
      </c>
      <c r="L20" s="6">
        <f t="shared" si="19"/>
        <v>13.789255980737252</v>
      </c>
      <c r="M20" s="6">
        <f t="shared" si="19"/>
        <v>8.6866869362597665</v>
      </c>
      <c r="N20" s="6">
        <f t="shared" si="19"/>
        <v>5.4722698624202479</v>
      </c>
      <c r="O20" s="6">
        <f t="shared" si="19"/>
        <v>4.1761235004052271</v>
      </c>
      <c r="P20" s="6">
        <f t="shared" si="19"/>
        <v>2.6307929525605904</v>
      </c>
      <c r="Q20" s="6">
        <f t="shared" si="19"/>
        <v>1.6572957094230842</v>
      </c>
      <c r="R20" s="6">
        <f t="shared" si="19"/>
        <v>1.0440308751013061</v>
      </c>
    </row>
    <row r="22" spans="1:18" x14ac:dyDescent="0.25">
      <c r="A22" s="36" t="s">
        <v>12</v>
      </c>
      <c r="B22" s="36"/>
      <c r="C22" s="36"/>
      <c r="D22" s="36"/>
      <c r="E22" s="3" t="s">
        <v>15</v>
      </c>
      <c r="F22" s="11">
        <f>_xlfn.CHISQ.TEST($E$24:$E$106,F24:F106)</f>
        <v>1</v>
      </c>
      <c r="G22" s="17"/>
      <c r="H22" s="36" t="s">
        <v>11</v>
      </c>
      <c r="I22" s="36"/>
      <c r="J22" s="36"/>
      <c r="K22" s="36"/>
      <c r="L22" s="36"/>
      <c r="M22" s="36"/>
      <c r="N22" s="36"/>
      <c r="O22" s="36"/>
      <c r="P22" s="36"/>
      <c r="Q22" s="36"/>
      <c r="R22" s="36"/>
    </row>
    <row r="23" spans="1:18" s="20" customFormat="1" x14ac:dyDescent="0.25">
      <c r="A23" s="3" t="s">
        <v>0</v>
      </c>
      <c r="B23" s="3" t="s">
        <v>1</v>
      </c>
      <c r="C23" s="3" t="s">
        <v>2</v>
      </c>
      <c r="D23" s="18" t="s">
        <v>9</v>
      </c>
      <c r="E23" s="3" t="s">
        <v>16</v>
      </c>
      <c r="F23" s="3" t="s">
        <v>14</v>
      </c>
      <c r="G23" s="19"/>
      <c r="H23" s="3">
        <v>5</v>
      </c>
      <c r="I23" s="3">
        <v>10</v>
      </c>
      <c r="J23" s="3">
        <v>15</v>
      </c>
      <c r="K23" s="3">
        <v>20</v>
      </c>
      <c r="L23" s="3">
        <v>30</v>
      </c>
      <c r="M23" s="3">
        <v>60</v>
      </c>
      <c r="N23" s="3">
        <v>120</v>
      </c>
      <c r="O23" s="29">
        <v>180</v>
      </c>
      <c r="P23" s="3">
        <v>360</v>
      </c>
      <c r="Q23" s="29">
        <v>720</v>
      </c>
      <c r="R23" s="3">
        <v>1440</v>
      </c>
    </row>
    <row r="24" spans="1:18" x14ac:dyDescent="0.25">
      <c r="A24" s="33">
        <v>1927</v>
      </c>
      <c r="B24" s="33">
        <v>111.3</v>
      </c>
      <c r="C24" s="11">
        <f t="shared" ref="C24:C87" si="20">LOG(B24)</f>
        <v>2.0464951643347082</v>
      </c>
      <c r="D24" s="21">
        <f t="shared" ref="D24:D55" si="21">IF(OR(C24&gt;$R$10,C24&lt;$R$11,B24&gt;150),"YES",0)</f>
        <v>0</v>
      </c>
      <c r="E24" s="11">
        <f t="shared" ref="E24:E55" si="22">RANK(B24,B$24:B$113)/($B$18+1)</f>
        <v>0.10989010989010989</v>
      </c>
      <c r="F24" s="11">
        <f t="shared" ref="F24:F55" si="23">1-EXP(-EXP(-(B24-$R$5)/$R$4))</f>
        <v>0.22617304086796741</v>
      </c>
      <c r="G24" s="17"/>
      <c r="H24" s="6">
        <f t="shared" ref="H24:R33" si="24">($B24*((H$23/60)/24)^(1/3))/H$23*60</f>
        <v>202.24552198221713</v>
      </c>
      <c r="I24" s="6">
        <f t="shared" si="24"/>
        <v>127.40669519618584</v>
      </c>
      <c r="J24" s="6">
        <f t="shared" si="24"/>
        <v>97.229505725150077</v>
      </c>
      <c r="K24" s="6">
        <f t="shared" si="24"/>
        <v>80.261188587607279</v>
      </c>
      <c r="L24" s="6">
        <f t="shared" si="24"/>
        <v>61.250750466995328</v>
      </c>
      <c r="M24" s="6">
        <f t="shared" si="24"/>
        <v>38.585554917612825</v>
      </c>
      <c r="N24" s="6">
        <f t="shared" si="24"/>
        <v>24.307376431287512</v>
      </c>
      <c r="O24" s="6">
        <f t="shared" si="24"/>
        <v>18.550000000000004</v>
      </c>
      <c r="P24" s="6">
        <f t="shared" si="24"/>
        <v>11.685767737774947</v>
      </c>
      <c r="Q24" s="6">
        <f t="shared" si="24"/>
        <v>7.3615723785025251</v>
      </c>
      <c r="R24" s="6">
        <f t="shared" si="24"/>
        <v>4.6374999999999993</v>
      </c>
    </row>
    <row r="25" spans="1:18" x14ac:dyDescent="0.25">
      <c r="A25" s="33">
        <v>1928</v>
      </c>
      <c r="B25" s="33">
        <v>74.2</v>
      </c>
      <c r="C25" s="11">
        <f t="shared" si="20"/>
        <v>1.8704039052790271</v>
      </c>
      <c r="D25" s="21">
        <f t="shared" si="21"/>
        <v>0</v>
      </c>
      <c r="E25" s="11">
        <f t="shared" si="22"/>
        <v>0.42857142857142855</v>
      </c>
      <c r="F25" s="11">
        <f t="shared" si="23"/>
        <v>0.35888677950403458</v>
      </c>
      <c r="G25" s="17"/>
      <c r="H25" s="6">
        <f t="shared" si="24"/>
        <v>134.83034798814475</v>
      </c>
      <c r="I25" s="6">
        <f t="shared" si="24"/>
        <v>84.937796797457224</v>
      </c>
      <c r="J25" s="6">
        <f t="shared" si="24"/>
        <v>64.819670483433384</v>
      </c>
      <c r="K25" s="6">
        <f t="shared" si="24"/>
        <v>53.507459058404862</v>
      </c>
      <c r="L25" s="6">
        <f t="shared" si="24"/>
        <v>40.833833644663549</v>
      </c>
      <c r="M25" s="6">
        <f t="shared" si="24"/>
        <v>25.72370327840855</v>
      </c>
      <c r="N25" s="6">
        <f t="shared" si="24"/>
        <v>16.204917620858343</v>
      </c>
      <c r="O25" s="6">
        <f t="shared" si="24"/>
        <v>12.366666666666669</v>
      </c>
      <c r="P25" s="6">
        <f t="shared" si="24"/>
        <v>7.790511825183299</v>
      </c>
      <c r="Q25" s="6">
        <f t="shared" si="24"/>
        <v>4.907714919001684</v>
      </c>
      <c r="R25" s="6">
        <f t="shared" si="24"/>
        <v>3.0916666666666668</v>
      </c>
    </row>
    <row r="26" spans="1:18" x14ac:dyDescent="0.25">
      <c r="A26" s="33">
        <v>1929</v>
      </c>
      <c r="B26" s="33">
        <v>88.1</v>
      </c>
      <c r="C26" s="11">
        <f t="shared" si="20"/>
        <v>1.9449759084120479</v>
      </c>
      <c r="D26" s="21">
        <f t="shared" si="21"/>
        <v>0</v>
      </c>
      <c r="E26" s="11">
        <f t="shared" si="22"/>
        <v>0.19780219780219779</v>
      </c>
      <c r="F26" s="11">
        <f t="shared" si="23"/>
        <v>0.30352647563910129</v>
      </c>
      <c r="G26" s="17"/>
      <c r="H26" s="6">
        <f t="shared" si="24"/>
        <v>160.08832422851148</v>
      </c>
      <c r="I26" s="6">
        <f t="shared" si="24"/>
        <v>100.84932476894853</v>
      </c>
      <c r="J26" s="6">
        <f t="shared" si="24"/>
        <v>76.962438943267941</v>
      </c>
      <c r="K26" s="6">
        <f t="shared" si="24"/>
        <v>63.531093572041343</v>
      </c>
      <c r="L26" s="6">
        <f t="shared" si="24"/>
        <v>48.483298437936099</v>
      </c>
      <c r="M26" s="6">
        <f t="shared" si="24"/>
        <v>30.542564135145458</v>
      </c>
      <c r="N26" s="6">
        <f t="shared" si="24"/>
        <v>19.240609735816978</v>
      </c>
      <c r="O26" s="6">
        <f t="shared" si="24"/>
        <v>14.683333333333335</v>
      </c>
      <c r="P26" s="6">
        <f t="shared" si="24"/>
        <v>9.2499203746448586</v>
      </c>
      <c r="Q26" s="6">
        <f t="shared" si="24"/>
        <v>5.8270846949332658</v>
      </c>
      <c r="R26" s="6">
        <f t="shared" si="24"/>
        <v>3.6708333333333329</v>
      </c>
    </row>
    <row r="27" spans="1:18" x14ac:dyDescent="0.25">
      <c r="A27" s="33">
        <v>1930</v>
      </c>
      <c r="B27" s="33">
        <v>69.3</v>
      </c>
      <c r="C27" s="11">
        <f t="shared" si="20"/>
        <v>1.8407332346118068</v>
      </c>
      <c r="D27" s="21">
        <f t="shared" si="21"/>
        <v>0</v>
      </c>
      <c r="E27" s="11">
        <f t="shared" si="22"/>
        <v>0.50549450549450547</v>
      </c>
      <c r="F27" s="11">
        <f t="shared" si="23"/>
        <v>0.38001646706388204</v>
      </c>
      <c r="G27" s="17"/>
      <c r="H27" s="6">
        <f t="shared" si="24"/>
        <v>125.92645708326727</v>
      </c>
      <c r="I27" s="6">
        <f t="shared" si="24"/>
        <v>79.328697008945895</v>
      </c>
      <c r="J27" s="6">
        <f t="shared" si="24"/>
        <v>60.539126206225525</v>
      </c>
      <c r="K27" s="6">
        <f t="shared" si="24"/>
        <v>49.973947611151708</v>
      </c>
      <c r="L27" s="6">
        <f t="shared" si="24"/>
        <v>38.137259724732935</v>
      </c>
      <c r="M27" s="6">
        <f t="shared" si="24"/>
        <v>24.024968156249493</v>
      </c>
      <c r="N27" s="6">
        <f t="shared" si="24"/>
        <v>15.134781551556374</v>
      </c>
      <c r="O27" s="6">
        <f t="shared" si="24"/>
        <v>11.550000000000002</v>
      </c>
      <c r="P27" s="6">
        <f t="shared" si="24"/>
        <v>7.2760440631428915</v>
      </c>
      <c r="Q27" s="6">
        <f t="shared" si="24"/>
        <v>4.5836205375581764</v>
      </c>
      <c r="R27" s="6">
        <f t="shared" si="24"/>
        <v>2.8875000000000002</v>
      </c>
    </row>
    <row r="28" spans="1:18" x14ac:dyDescent="0.25">
      <c r="A28" s="33">
        <v>1931</v>
      </c>
      <c r="B28" s="33">
        <v>71.900000000000006</v>
      </c>
      <c r="C28" s="11">
        <f t="shared" si="20"/>
        <v>1.8567288903828827</v>
      </c>
      <c r="D28" s="21">
        <f t="shared" si="21"/>
        <v>0</v>
      </c>
      <c r="E28" s="11">
        <f t="shared" si="22"/>
        <v>0.45054945054945056</v>
      </c>
      <c r="F28" s="11">
        <f t="shared" si="23"/>
        <v>0.36870170953896797</v>
      </c>
      <c r="G28" s="17"/>
      <c r="H28" s="6">
        <f t="shared" si="24"/>
        <v>130.65097062463084</v>
      </c>
      <c r="I28" s="6">
        <f t="shared" si="24"/>
        <v>82.304954039584572</v>
      </c>
      <c r="J28" s="6">
        <f t="shared" si="24"/>
        <v>62.810435414539903</v>
      </c>
      <c r="K28" s="6">
        <f t="shared" si="24"/>
        <v>51.848872052551336</v>
      </c>
      <c r="L28" s="6">
        <f t="shared" si="24"/>
        <v>39.568094865920614</v>
      </c>
      <c r="M28" s="6">
        <f t="shared" si="24"/>
        <v>24.926337812905324</v>
      </c>
      <c r="N28" s="6">
        <f t="shared" si="24"/>
        <v>15.702608853634972</v>
      </c>
      <c r="O28" s="6">
        <f t="shared" si="24"/>
        <v>11.983333333333336</v>
      </c>
      <c r="P28" s="6">
        <f t="shared" si="24"/>
        <v>7.5490269572867827</v>
      </c>
      <c r="Q28" s="6">
        <f t="shared" si="24"/>
        <v>4.7555889848547315</v>
      </c>
      <c r="R28" s="6">
        <f t="shared" si="24"/>
        <v>2.9958333333333336</v>
      </c>
    </row>
    <row r="29" spans="1:18" x14ac:dyDescent="0.25">
      <c r="A29" s="33">
        <v>1932</v>
      </c>
      <c r="B29" s="33">
        <v>85.3</v>
      </c>
      <c r="C29" s="11">
        <f t="shared" si="20"/>
        <v>1.930949031167523</v>
      </c>
      <c r="D29" s="21">
        <f t="shared" si="21"/>
        <v>0</v>
      </c>
      <c r="E29" s="11">
        <f t="shared" si="22"/>
        <v>0.25274725274725274</v>
      </c>
      <c r="F29" s="11">
        <f t="shared" si="23"/>
        <v>0.31412843820712943</v>
      </c>
      <c r="G29" s="17"/>
      <c r="H29" s="6">
        <f t="shared" si="24"/>
        <v>155.00038656858149</v>
      </c>
      <c r="I29" s="6">
        <f t="shared" si="24"/>
        <v>97.644124889799201</v>
      </c>
      <c r="J29" s="6">
        <f t="shared" si="24"/>
        <v>74.516413642006299</v>
      </c>
      <c r="K29" s="6">
        <f t="shared" si="24"/>
        <v>61.511944173610964</v>
      </c>
      <c r="L29" s="6">
        <f t="shared" si="24"/>
        <v>46.942399055118607</v>
      </c>
      <c r="M29" s="6">
        <f t="shared" si="24"/>
        <v>29.571858351054573</v>
      </c>
      <c r="N29" s="6">
        <f t="shared" si="24"/>
        <v>18.629103410501571</v>
      </c>
      <c r="O29" s="6">
        <f t="shared" si="24"/>
        <v>14.216666666666669</v>
      </c>
      <c r="P29" s="6">
        <f t="shared" si="24"/>
        <v>8.9559387963360564</v>
      </c>
      <c r="Q29" s="6">
        <f t="shared" si="24"/>
        <v>5.6418879055369757</v>
      </c>
      <c r="R29" s="6">
        <f t="shared" si="24"/>
        <v>3.5541666666666663</v>
      </c>
    </row>
    <row r="30" spans="1:18" x14ac:dyDescent="0.25">
      <c r="A30" s="33">
        <v>1933</v>
      </c>
      <c r="B30" s="33">
        <v>71.400000000000006</v>
      </c>
      <c r="C30" s="11">
        <f t="shared" si="20"/>
        <v>1.8536982117761744</v>
      </c>
      <c r="D30" s="21">
        <f t="shared" si="21"/>
        <v>0</v>
      </c>
      <c r="E30" s="11">
        <f t="shared" si="22"/>
        <v>0.47252747252747251</v>
      </c>
      <c r="F30" s="11">
        <f t="shared" si="23"/>
        <v>0.37085960362758108</v>
      </c>
      <c r="G30" s="17"/>
      <c r="H30" s="6">
        <f t="shared" si="24"/>
        <v>129.74241032821476</v>
      </c>
      <c r="I30" s="6">
        <f t="shared" si="24"/>
        <v>81.732596918307905</v>
      </c>
      <c r="J30" s="6">
        <f t="shared" si="24"/>
        <v>62.373645182171757</v>
      </c>
      <c r="K30" s="6">
        <f t="shared" si="24"/>
        <v>51.488309659974483</v>
      </c>
      <c r="L30" s="6">
        <f t="shared" si="24"/>
        <v>39.292934261846064</v>
      </c>
      <c r="M30" s="6">
        <f t="shared" si="24"/>
        <v>24.752997494317665</v>
      </c>
      <c r="N30" s="6">
        <f t="shared" si="24"/>
        <v>15.593411295542936</v>
      </c>
      <c r="O30" s="6">
        <f t="shared" si="24"/>
        <v>11.900000000000004</v>
      </c>
      <c r="P30" s="6">
        <f t="shared" si="24"/>
        <v>7.4965302468744959</v>
      </c>
      <c r="Q30" s="6">
        <f t="shared" si="24"/>
        <v>4.722518129605394</v>
      </c>
      <c r="R30" s="6">
        <f t="shared" si="24"/>
        <v>2.9750000000000005</v>
      </c>
    </row>
    <row r="31" spans="1:18" x14ac:dyDescent="0.25">
      <c r="A31" s="33">
        <v>1934</v>
      </c>
      <c r="B31" s="33">
        <v>67.099999999999994</v>
      </c>
      <c r="C31" s="11">
        <f t="shared" si="20"/>
        <v>1.8267225201689921</v>
      </c>
      <c r="D31" s="21">
        <f t="shared" si="21"/>
        <v>0</v>
      </c>
      <c r="E31" s="11">
        <f t="shared" si="22"/>
        <v>0.5714285714285714</v>
      </c>
      <c r="F31" s="11">
        <f t="shared" si="23"/>
        <v>0.38977029756130632</v>
      </c>
      <c r="G31" s="17"/>
      <c r="H31" s="6">
        <f t="shared" si="24"/>
        <v>121.92879177903654</v>
      </c>
      <c r="I31" s="6">
        <f t="shared" si="24"/>
        <v>76.810325675328571</v>
      </c>
      <c r="J31" s="6">
        <f t="shared" si="24"/>
        <v>58.617249183805662</v>
      </c>
      <c r="K31" s="6">
        <f t="shared" si="24"/>
        <v>48.38747308381356</v>
      </c>
      <c r="L31" s="6">
        <f t="shared" si="24"/>
        <v>36.926553066804907</v>
      </c>
      <c r="M31" s="6">
        <f t="shared" si="24"/>
        <v>23.262270754463795</v>
      </c>
      <c r="N31" s="6">
        <f t="shared" si="24"/>
        <v>14.654312295951412</v>
      </c>
      <c r="O31" s="6">
        <f t="shared" si="24"/>
        <v>11.183333333333335</v>
      </c>
      <c r="P31" s="6">
        <f t="shared" si="24"/>
        <v>7.045058537328833</v>
      </c>
      <c r="Q31" s="6">
        <f t="shared" si="24"/>
        <v>4.4381087744610905</v>
      </c>
      <c r="R31" s="6">
        <f t="shared" si="24"/>
        <v>2.7958333333333334</v>
      </c>
    </row>
    <row r="32" spans="1:18" x14ac:dyDescent="0.25">
      <c r="A32" s="33">
        <v>1935</v>
      </c>
      <c r="B32" s="33">
        <v>143.30000000000001</v>
      </c>
      <c r="C32" s="11">
        <f t="shared" si="20"/>
        <v>2.1562461903973444</v>
      </c>
      <c r="D32" s="21">
        <f t="shared" si="21"/>
        <v>0</v>
      </c>
      <c r="E32" s="11">
        <f t="shared" si="22"/>
        <v>2.197802197802198E-2</v>
      </c>
      <c r="F32" s="11">
        <f t="shared" si="23"/>
        <v>0.14744014260551186</v>
      </c>
      <c r="G32" s="17"/>
      <c r="H32" s="6">
        <f t="shared" si="24"/>
        <v>260.39338095284563</v>
      </c>
      <c r="I32" s="6">
        <f t="shared" si="24"/>
        <v>164.03755095789248</v>
      </c>
      <c r="J32" s="6">
        <f t="shared" si="24"/>
        <v>125.18408059671167</v>
      </c>
      <c r="K32" s="6">
        <f t="shared" si="24"/>
        <v>103.33718171252582</v>
      </c>
      <c r="L32" s="6">
        <f t="shared" si="24"/>
        <v>78.86102912776667</v>
      </c>
      <c r="M32" s="6">
        <f t="shared" si="24"/>
        <v>49.679335307222985</v>
      </c>
      <c r="N32" s="6">
        <f t="shared" si="24"/>
        <v>31.296020149177902</v>
      </c>
      <c r="O32" s="6">
        <f t="shared" si="24"/>
        <v>23.88333333333334</v>
      </c>
      <c r="P32" s="6">
        <f t="shared" si="24"/>
        <v>15.04555720416128</v>
      </c>
      <c r="Q32" s="6">
        <f t="shared" si="24"/>
        <v>9.4781071144601263</v>
      </c>
      <c r="R32" s="6">
        <f t="shared" si="24"/>
        <v>5.9708333333333341</v>
      </c>
    </row>
    <row r="33" spans="1:18" x14ac:dyDescent="0.25">
      <c r="A33" s="33">
        <v>1936</v>
      </c>
      <c r="B33" s="33">
        <v>92.7</v>
      </c>
      <c r="C33" s="11">
        <f t="shared" si="20"/>
        <v>1.967079734144497</v>
      </c>
      <c r="D33" s="21">
        <f t="shared" si="21"/>
        <v>0</v>
      </c>
      <c r="E33" s="11">
        <f t="shared" si="22"/>
        <v>0.18681318681318682</v>
      </c>
      <c r="F33" s="11">
        <f t="shared" si="23"/>
        <v>0.28671049981250696</v>
      </c>
      <c r="G33" s="17"/>
      <c r="H33" s="6">
        <f t="shared" si="24"/>
        <v>168.44707895553935</v>
      </c>
      <c r="I33" s="6">
        <f t="shared" si="24"/>
        <v>106.11501028469388</v>
      </c>
      <c r="J33" s="6">
        <f t="shared" si="24"/>
        <v>80.980909081054918</v>
      </c>
      <c r="K33" s="6">
        <f t="shared" si="24"/>
        <v>66.848267583748395</v>
      </c>
      <c r="L33" s="6">
        <f t="shared" si="24"/>
        <v>51.014775995421985</v>
      </c>
      <c r="M33" s="6">
        <f t="shared" si="24"/>
        <v>32.137295066151921</v>
      </c>
      <c r="N33" s="6">
        <f t="shared" si="24"/>
        <v>20.245227270263726</v>
      </c>
      <c r="O33" s="6">
        <f t="shared" si="24"/>
        <v>15.450000000000003</v>
      </c>
      <c r="P33" s="6">
        <f t="shared" si="24"/>
        <v>9.7328901104378964</v>
      </c>
      <c r="Q33" s="6">
        <f t="shared" si="24"/>
        <v>6.1313365632271717</v>
      </c>
      <c r="R33" s="6">
        <f t="shared" si="24"/>
        <v>3.8625000000000003</v>
      </c>
    </row>
    <row r="34" spans="1:18" x14ac:dyDescent="0.25">
      <c r="A34" s="33">
        <v>1937</v>
      </c>
      <c r="B34" s="33">
        <v>96.5</v>
      </c>
      <c r="C34" s="11">
        <f t="shared" si="20"/>
        <v>1.9845273133437926</v>
      </c>
      <c r="D34" s="21">
        <f t="shared" si="21"/>
        <v>0</v>
      </c>
      <c r="E34" s="11">
        <f t="shared" si="22"/>
        <v>0.15384615384615385</v>
      </c>
      <c r="F34" s="11">
        <f t="shared" si="23"/>
        <v>0.27337949011174623</v>
      </c>
      <c r="G34" s="17"/>
      <c r="H34" s="6">
        <f t="shared" ref="H34:R43" si="25">($B34*((H$23/60)/24)^(1/3))/H$23*60</f>
        <v>175.35213720830146</v>
      </c>
      <c r="I34" s="6">
        <f t="shared" si="25"/>
        <v>110.46492440639653</v>
      </c>
      <c r="J34" s="6">
        <f t="shared" si="25"/>
        <v>84.300514847052852</v>
      </c>
      <c r="K34" s="6">
        <f t="shared" si="25"/>
        <v>69.588541767332458</v>
      </c>
      <c r="L34" s="6">
        <f t="shared" si="25"/>
        <v>53.105996586388578</v>
      </c>
      <c r="M34" s="6">
        <f t="shared" si="25"/>
        <v>33.454681487418128</v>
      </c>
      <c r="N34" s="6">
        <f t="shared" si="25"/>
        <v>21.07512871176321</v>
      </c>
      <c r="O34" s="6">
        <f t="shared" si="25"/>
        <v>16.083333333333339</v>
      </c>
      <c r="P34" s="6">
        <f t="shared" si="25"/>
        <v>10.131865109571272</v>
      </c>
      <c r="Q34" s="6">
        <f t="shared" si="25"/>
        <v>6.3826750631221358</v>
      </c>
      <c r="R34" s="6">
        <f t="shared" si="25"/>
        <v>4.020833333333333</v>
      </c>
    </row>
    <row r="35" spans="1:18" x14ac:dyDescent="0.25">
      <c r="A35" s="33">
        <v>1938</v>
      </c>
      <c r="B35" s="33">
        <v>87.9</v>
      </c>
      <c r="C35" s="11">
        <f t="shared" si="20"/>
        <v>1.9439888750737719</v>
      </c>
      <c r="D35" s="21">
        <f t="shared" si="21"/>
        <v>0</v>
      </c>
      <c r="E35" s="11">
        <f t="shared" si="22"/>
        <v>0.21978021978021978</v>
      </c>
      <c r="F35" s="11">
        <f t="shared" si="23"/>
        <v>0.30427455242102464</v>
      </c>
      <c r="G35" s="17"/>
      <c r="H35" s="6">
        <f t="shared" si="25"/>
        <v>159.72490010994508</v>
      </c>
      <c r="I35" s="6">
        <f t="shared" si="25"/>
        <v>100.62038192043789</v>
      </c>
      <c r="J35" s="6">
        <f t="shared" si="25"/>
        <v>76.787722850320691</v>
      </c>
      <c r="K35" s="6">
        <f t="shared" si="25"/>
        <v>63.386868615010613</v>
      </c>
      <c r="L35" s="6">
        <f t="shared" si="25"/>
        <v>48.373234196306285</v>
      </c>
      <c r="M35" s="6">
        <f t="shared" si="25"/>
        <v>30.4732280077104</v>
      </c>
      <c r="N35" s="6">
        <f t="shared" si="25"/>
        <v>19.196930712580169</v>
      </c>
      <c r="O35" s="6">
        <f t="shared" si="25"/>
        <v>14.650000000000004</v>
      </c>
      <c r="P35" s="6">
        <f t="shared" si="25"/>
        <v>9.2289216904799467</v>
      </c>
      <c r="Q35" s="6">
        <f t="shared" si="25"/>
        <v>5.8138563528335316</v>
      </c>
      <c r="R35" s="6">
        <f t="shared" si="25"/>
        <v>3.6625000000000001</v>
      </c>
    </row>
    <row r="36" spans="1:18" x14ac:dyDescent="0.25">
      <c r="A36" s="33">
        <v>1939</v>
      </c>
      <c r="B36" s="33">
        <v>62.5</v>
      </c>
      <c r="C36" s="11">
        <f t="shared" si="20"/>
        <v>1.7958800173440752</v>
      </c>
      <c r="D36" s="21">
        <f t="shared" si="21"/>
        <v>0</v>
      </c>
      <c r="E36" s="11">
        <f t="shared" si="22"/>
        <v>0.67032967032967028</v>
      </c>
      <c r="F36" s="11">
        <f t="shared" si="23"/>
        <v>0.41068626873017122</v>
      </c>
      <c r="G36" s="17"/>
      <c r="H36" s="6">
        <f t="shared" si="25"/>
        <v>113.57003705200871</v>
      </c>
      <c r="I36" s="6">
        <f t="shared" si="25"/>
        <v>71.544640159583238</v>
      </c>
      <c r="J36" s="6">
        <f t="shared" si="25"/>
        <v>54.598779046018691</v>
      </c>
      <c r="K36" s="6">
        <f t="shared" si="25"/>
        <v>45.070299072106515</v>
      </c>
      <c r="L36" s="6">
        <f t="shared" si="25"/>
        <v>34.395075509319028</v>
      </c>
      <c r="M36" s="6">
        <f t="shared" si="25"/>
        <v>21.667539823457336</v>
      </c>
      <c r="N36" s="6">
        <f t="shared" si="25"/>
        <v>13.649694761504669</v>
      </c>
      <c r="O36" s="6">
        <f t="shared" si="25"/>
        <v>10.41666666666667</v>
      </c>
      <c r="P36" s="6">
        <f t="shared" si="25"/>
        <v>6.5620888015357979</v>
      </c>
      <c r="Q36" s="6">
        <f t="shared" si="25"/>
        <v>4.1338569061671864</v>
      </c>
      <c r="R36" s="6">
        <f t="shared" si="25"/>
        <v>2.6041666666666665</v>
      </c>
    </row>
    <row r="37" spans="1:18" x14ac:dyDescent="0.25">
      <c r="A37" s="33">
        <v>1940</v>
      </c>
      <c r="B37" s="33">
        <v>66.3</v>
      </c>
      <c r="C37" s="11">
        <f t="shared" si="20"/>
        <v>1.8215135284047732</v>
      </c>
      <c r="D37" s="21">
        <f t="shared" si="21"/>
        <v>0</v>
      </c>
      <c r="E37" s="11">
        <f t="shared" si="22"/>
        <v>0.59340659340659341</v>
      </c>
      <c r="F37" s="11">
        <f t="shared" si="23"/>
        <v>0.39335754107966259</v>
      </c>
      <c r="G37" s="17"/>
      <c r="H37" s="6">
        <f t="shared" si="25"/>
        <v>120.47509530477085</v>
      </c>
      <c r="I37" s="6">
        <f t="shared" si="25"/>
        <v>75.894554281285906</v>
      </c>
      <c r="J37" s="6">
        <f t="shared" si="25"/>
        <v>57.918384812016626</v>
      </c>
      <c r="K37" s="6">
        <f t="shared" si="25"/>
        <v>47.810573255690585</v>
      </c>
      <c r="L37" s="6">
        <f t="shared" si="25"/>
        <v>36.486296100285621</v>
      </c>
      <c r="M37" s="6">
        <f t="shared" si="25"/>
        <v>22.984926244723543</v>
      </c>
      <c r="N37" s="6">
        <f t="shared" si="25"/>
        <v>14.479596203004151</v>
      </c>
      <c r="O37" s="6">
        <f t="shared" si="25"/>
        <v>11.050000000000002</v>
      </c>
      <c r="P37" s="6">
        <f t="shared" si="25"/>
        <v>6.9610638006691739</v>
      </c>
      <c r="Q37" s="6">
        <f t="shared" si="25"/>
        <v>4.3851954060621514</v>
      </c>
      <c r="R37" s="6">
        <f t="shared" si="25"/>
        <v>2.7624999999999997</v>
      </c>
    </row>
    <row r="38" spans="1:18" x14ac:dyDescent="0.25">
      <c r="A38" s="33">
        <v>1941</v>
      </c>
      <c r="B38" s="33">
        <v>77</v>
      </c>
      <c r="C38" s="11">
        <f t="shared" si="20"/>
        <v>1.8864907251724818</v>
      </c>
      <c r="D38" s="21">
        <f t="shared" si="21"/>
        <v>0</v>
      </c>
      <c r="E38" s="11">
        <f t="shared" si="22"/>
        <v>0.36263736263736263</v>
      </c>
      <c r="F38" s="11">
        <f t="shared" si="23"/>
        <v>0.34718694438198139</v>
      </c>
      <c r="G38" s="17"/>
      <c r="H38" s="6">
        <f t="shared" si="25"/>
        <v>139.91828564807474</v>
      </c>
      <c r="I38" s="6">
        <f t="shared" si="25"/>
        <v>88.142996676606558</v>
      </c>
      <c r="J38" s="6">
        <f t="shared" si="25"/>
        <v>67.265695784695026</v>
      </c>
      <c r="K38" s="6">
        <f t="shared" si="25"/>
        <v>55.526608456835227</v>
      </c>
      <c r="L38" s="6">
        <f t="shared" si="25"/>
        <v>42.374733027481042</v>
      </c>
      <c r="M38" s="6">
        <f t="shared" si="25"/>
        <v>26.694409062499439</v>
      </c>
      <c r="N38" s="6">
        <f t="shared" si="25"/>
        <v>16.816423946173753</v>
      </c>
      <c r="O38" s="6">
        <f t="shared" si="25"/>
        <v>12.833333333333336</v>
      </c>
      <c r="P38" s="6">
        <f t="shared" si="25"/>
        <v>8.0844934034921021</v>
      </c>
      <c r="Q38" s="6">
        <f t="shared" si="25"/>
        <v>5.0929117083979731</v>
      </c>
      <c r="R38" s="6">
        <f t="shared" si="25"/>
        <v>3.208333333333333</v>
      </c>
    </row>
    <row r="39" spans="1:18" x14ac:dyDescent="0.25">
      <c r="A39" s="33">
        <v>1942</v>
      </c>
      <c r="B39" s="33">
        <v>96.5</v>
      </c>
      <c r="C39" s="11">
        <f t="shared" si="20"/>
        <v>1.9845273133437926</v>
      </c>
      <c r="D39" s="21">
        <f t="shared" si="21"/>
        <v>0</v>
      </c>
      <c r="E39" s="11">
        <f t="shared" si="22"/>
        <v>0.15384615384615385</v>
      </c>
      <c r="F39" s="11">
        <f t="shared" si="23"/>
        <v>0.27337949011174623</v>
      </c>
      <c r="G39" s="17"/>
      <c r="H39" s="6">
        <f t="shared" si="25"/>
        <v>175.35213720830146</v>
      </c>
      <c r="I39" s="6">
        <f t="shared" si="25"/>
        <v>110.46492440639653</v>
      </c>
      <c r="J39" s="6">
        <f t="shared" si="25"/>
        <v>84.300514847052852</v>
      </c>
      <c r="K39" s="6">
        <f t="shared" si="25"/>
        <v>69.588541767332458</v>
      </c>
      <c r="L39" s="6">
        <f t="shared" si="25"/>
        <v>53.105996586388578</v>
      </c>
      <c r="M39" s="6">
        <f t="shared" si="25"/>
        <v>33.454681487418128</v>
      </c>
      <c r="N39" s="6">
        <f t="shared" si="25"/>
        <v>21.07512871176321</v>
      </c>
      <c r="O39" s="6">
        <f t="shared" si="25"/>
        <v>16.083333333333339</v>
      </c>
      <c r="P39" s="6">
        <f t="shared" si="25"/>
        <v>10.131865109571272</v>
      </c>
      <c r="Q39" s="6">
        <f t="shared" si="25"/>
        <v>6.3826750631221358</v>
      </c>
      <c r="R39" s="6">
        <f t="shared" si="25"/>
        <v>4.020833333333333</v>
      </c>
    </row>
    <row r="40" spans="1:18" x14ac:dyDescent="0.25">
      <c r="A40" s="33">
        <v>1943</v>
      </c>
      <c r="B40" s="33">
        <v>62.2</v>
      </c>
      <c r="C40" s="11">
        <f t="shared" si="20"/>
        <v>1.7937903846908188</v>
      </c>
      <c r="D40" s="21">
        <f t="shared" si="21"/>
        <v>0</v>
      </c>
      <c r="E40" s="11">
        <f t="shared" si="22"/>
        <v>0.69230769230769229</v>
      </c>
      <c r="F40" s="11">
        <f t="shared" si="23"/>
        <v>0.41207440638211734</v>
      </c>
      <c r="G40" s="17"/>
      <c r="H40" s="6">
        <f t="shared" si="25"/>
        <v>113.02490087415907</v>
      </c>
      <c r="I40" s="6">
        <f t="shared" si="25"/>
        <v>71.201225886817255</v>
      </c>
      <c r="J40" s="6">
        <f t="shared" si="25"/>
        <v>54.336704906597802</v>
      </c>
      <c r="K40" s="6">
        <f t="shared" si="25"/>
        <v>44.853961636560413</v>
      </c>
      <c r="L40" s="6">
        <f t="shared" si="25"/>
        <v>34.2299791468743</v>
      </c>
      <c r="M40" s="6">
        <f t="shared" si="25"/>
        <v>21.563535632304742</v>
      </c>
      <c r="N40" s="6">
        <f t="shared" si="25"/>
        <v>13.584176226649447</v>
      </c>
      <c r="O40" s="6">
        <f t="shared" si="25"/>
        <v>10.366666666666671</v>
      </c>
      <c r="P40" s="6">
        <f t="shared" si="25"/>
        <v>6.5305907752884265</v>
      </c>
      <c r="Q40" s="6">
        <f t="shared" si="25"/>
        <v>4.1140143930175839</v>
      </c>
      <c r="R40" s="6">
        <f t="shared" si="25"/>
        <v>2.5916666666666668</v>
      </c>
    </row>
    <row r="41" spans="1:18" x14ac:dyDescent="0.25">
      <c r="A41" s="33">
        <v>1944</v>
      </c>
      <c r="B41" s="33">
        <v>158.80000000000001</v>
      </c>
      <c r="C41" s="11">
        <f t="shared" si="20"/>
        <v>2.2008504980910777</v>
      </c>
      <c r="D41" s="21" t="str">
        <f t="shared" si="21"/>
        <v>YES</v>
      </c>
      <c r="E41" s="11">
        <f t="shared" si="22"/>
        <v>1.098901098901099E-2</v>
      </c>
      <c r="F41" s="11">
        <f t="shared" si="23"/>
        <v>0.11904545993955051</v>
      </c>
      <c r="G41" s="17"/>
      <c r="H41" s="6">
        <f t="shared" si="25"/>
        <v>288.55875014174376</v>
      </c>
      <c r="I41" s="6">
        <f t="shared" si="25"/>
        <v>181.78062171746913</v>
      </c>
      <c r="J41" s="6">
        <f t="shared" si="25"/>
        <v>138.72457780012431</v>
      </c>
      <c r="K41" s="6">
        <f t="shared" si="25"/>
        <v>114.51461588240825</v>
      </c>
      <c r="L41" s="6">
        <f t="shared" si="25"/>
        <v>87.391007854077799</v>
      </c>
      <c r="M41" s="6">
        <f t="shared" si="25"/>
        <v>55.052885183440402</v>
      </c>
      <c r="N41" s="6">
        <f t="shared" si="25"/>
        <v>34.681144450031063</v>
      </c>
      <c r="O41" s="6">
        <f t="shared" si="25"/>
        <v>26.466666666666676</v>
      </c>
      <c r="P41" s="6">
        <f t="shared" si="25"/>
        <v>16.672955226942157</v>
      </c>
      <c r="Q41" s="6">
        <f t="shared" si="25"/>
        <v>10.503303627189588</v>
      </c>
      <c r="R41" s="6">
        <f t="shared" si="25"/>
        <v>6.6166666666666671</v>
      </c>
    </row>
    <row r="42" spans="1:18" x14ac:dyDescent="0.25">
      <c r="A42" s="33">
        <v>1945</v>
      </c>
      <c r="B42" s="33">
        <v>70.900000000000006</v>
      </c>
      <c r="C42" s="11">
        <f t="shared" si="20"/>
        <v>1.8506462351830666</v>
      </c>
      <c r="D42" s="21">
        <f t="shared" si="21"/>
        <v>0</v>
      </c>
      <c r="E42" s="11">
        <f t="shared" si="22"/>
        <v>0.48351648351648352</v>
      </c>
      <c r="F42" s="11">
        <f t="shared" si="23"/>
        <v>0.37302610236931588</v>
      </c>
      <c r="G42" s="17"/>
      <c r="H42" s="6">
        <f t="shared" si="25"/>
        <v>128.8338500317987</v>
      </c>
      <c r="I42" s="6">
        <f t="shared" si="25"/>
        <v>81.160239797031238</v>
      </c>
      <c r="J42" s="6">
        <f t="shared" si="25"/>
        <v>61.936854949803603</v>
      </c>
      <c r="K42" s="6">
        <f t="shared" si="25"/>
        <v>51.127747267397638</v>
      </c>
      <c r="L42" s="6">
        <f t="shared" si="25"/>
        <v>39.017773657771507</v>
      </c>
      <c r="M42" s="6">
        <f t="shared" si="25"/>
        <v>24.579657175730006</v>
      </c>
      <c r="N42" s="6">
        <f t="shared" si="25"/>
        <v>15.484213737450897</v>
      </c>
      <c r="O42" s="6">
        <f t="shared" si="25"/>
        <v>11.81666666666667</v>
      </c>
      <c r="P42" s="6">
        <f t="shared" si="25"/>
        <v>7.444033536462209</v>
      </c>
      <c r="Q42" s="6">
        <f t="shared" si="25"/>
        <v>4.6894472743560565</v>
      </c>
      <c r="R42" s="6">
        <f t="shared" si="25"/>
        <v>2.9541666666666666</v>
      </c>
    </row>
    <row r="43" spans="1:18" x14ac:dyDescent="0.25">
      <c r="A43" s="33">
        <v>1946</v>
      </c>
      <c r="B43" s="33">
        <v>86.6</v>
      </c>
      <c r="C43" s="11">
        <f t="shared" si="20"/>
        <v>1.9375178920173466</v>
      </c>
      <c r="D43" s="21">
        <f t="shared" si="21"/>
        <v>0</v>
      </c>
      <c r="E43" s="11">
        <f t="shared" si="22"/>
        <v>0.24175824175824176</v>
      </c>
      <c r="F43" s="11">
        <f t="shared" si="23"/>
        <v>0.30917156380835742</v>
      </c>
      <c r="G43" s="17"/>
      <c r="H43" s="6">
        <f t="shared" si="25"/>
        <v>157.36264333926329</v>
      </c>
      <c r="I43" s="6">
        <f t="shared" si="25"/>
        <v>99.132253405118533</v>
      </c>
      <c r="J43" s="6">
        <f t="shared" si="25"/>
        <v>75.652068246163495</v>
      </c>
      <c r="K43" s="6">
        <f t="shared" si="25"/>
        <v>62.449406394310792</v>
      </c>
      <c r="L43" s="6">
        <f t="shared" si="25"/>
        <v>47.657816625712442</v>
      </c>
      <c r="M43" s="6">
        <f t="shared" si="25"/>
        <v>30.022543179382485</v>
      </c>
      <c r="N43" s="6">
        <f t="shared" si="25"/>
        <v>18.913017061540867</v>
      </c>
      <c r="O43" s="6">
        <f t="shared" si="25"/>
        <v>14.433333333333335</v>
      </c>
      <c r="P43" s="6">
        <f t="shared" si="25"/>
        <v>9.0924302434080015</v>
      </c>
      <c r="Q43" s="6">
        <f t="shared" si="25"/>
        <v>5.7278721291852523</v>
      </c>
      <c r="R43" s="6">
        <f t="shared" si="25"/>
        <v>3.6083333333333334</v>
      </c>
    </row>
    <row r="44" spans="1:18" x14ac:dyDescent="0.25">
      <c r="A44" s="33">
        <v>1947</v>
      </c>
      <c r="B44" s="33">
        <v>59.7</v>
      </c>
      <c r="C44" s="11">
        <f t="shared" si="20"/>
        <v>1.7759743311293692</v>
      </c>
      <c r="D44" s="21">
        <f t="shared" si="21"/>
        <v>0</v>
      </c>
      <c r="E44" s="11">
        <f t="shared" si="22"/>
        <v>0.73626373626373631</v>
      </c>
      <c r="F44" s="11">
        <f t="shared" si="23"/>
        <v>0.42375411811332875</v>
      </c>
      <c r="G44" s="17"/>
      <c r="H44" s="6">
        <f t="shared" ref="H44:R56" si="26">($B44*((H$23/60)/24)^(1/3))/H$23*60</f>
        <v>108.48209939207874</v>
      </c>
      <c r="I44" s="6">
        <f t="shared" si="26"/>
        <v>68.339440280433919</v>
      </c>
      <c r="J44" s="6">
        <f t="shared" si="26"/>
        <v>52.152753744757057</v>
      </c>
      <c r="K44" s="6">
        <f t="shared" si="26"/>
        <v>43.05114967367615</v>
      </c>
      <c r="L44" s="6">
        <f t="shared" si="26"/>
        <v>32.854176126501535</v>
      </c>
      <c r="M44" s="6">
        <f t="shared" si="26"/>
        <v>20.69683403936645</v>
      </c>
      <c r="N44" s="6">
        <f t="shared" si="26"/>
        <v>13.038188436189261</v>
      </c>
      <c r="O44" s="6">
        <f t="shared" si="26"/>
        <v>9.9500000000000028</v>
      </c>
      <c r="P44" s="6">
        <f t="shared" si="26"/>
        <v>6.2681072232269948</v>
      </c>
      <c r="Q44" s="6">
        <f t="shared" si="26"/>
        <v>3.9486601167708968</v>
      </c>
      <c r="R44" s="6">
        <f t="shared" si="26"/>
        <v>2.4874999999999998</v>
      </c>
    </row>
    <row r="45" spans="1:18" x14ac:dyDescent="0.25">
      <c r="A45" s="33">
        <v>1948</v>
      </c>
      <c r="B45" s="33">
        <v>42.7</v>
      </c>
      <c r="C45" s="11">
        <f t="shared" si="20"/>
        <v>1.6304278750250238</v>
      </c>
      <c r="D45" s="21">
        <f t="shared" si="21"/>
        <v>0</v>
      </c>
      <c r="E45" s="11">
        <f t="shared" si="22"/>
        <v>0.97802197802197799</v>
      </c>
      <c r="F45" s="11">
        <f t="shared" si="23"/>
        <v>0.50801626306457792</v>
      </c>
      <c r="G45" s="17"/>
      <c r="H45" s="6">
        <f t="shared" si="26"/>
        <v>77.591049313932359</v>
      </c>
      <c r="I45" s="6">
        <f t="shared" si="26"/>
        <v>48.879298157027279</v>
      </c>
      <c r="J45" s="6">
        <f t="shared" si="26"/>
        <v>37.301885844239969</v>
      </c>
      <c r="K45" s="6">
        <f t="shared" si="26"/>
        <v>30.792028326063175</v>
      </c>
      <c r="L45" s="6">
        <f t="shared" si="26"/>
        <v>23.49871558796676</v>
      </c>
      <c r="M45" s="6">
        <f t="shared" si="26"/>
        <v>14.803263207386053</v>
      </c>
      <c r="N45" s="6">
        <f t="shared" si="26"/>
        <v>9.3254714610599905</v>
      </c>
      <c r="O45" s="6">
        <f t="shared" si="26"/>
        <v>7.116666666666668</v>
      </c>
      <c r="P45" s="6">
        <f t="shared" si="26"/>
        <v>4.4832190692092579</v>
      </c>
      <c r="Q45" s="6">
        <f t="shared" si="26"/>
        <v>2.8242510382934221</v>
      </c>
      <c r="R45" s="6">
        <f t="shared" si="26"/>
        <v>1.7791666666666668</v>
      </c>
    </row>
    <row r="46" spans="1:18" x14ac:dyDescent="0.25">
      <c r="A46" s="33">
        <v>1949</v>
      </c>
      <c r="B46" s="33">
        <v>77.7</v>
      </c>
      <c r="C46" s="11">
        <f t="shared" si="20"/>
        <v>1.8904210188009143</v>
      </c>
      <c r="D46" s="21">
        <f t="shared" si="21"/>
        <v>0</v>
      </c>
      <c r="E46" s="11">
        <f t="shared" si="22"/>
        <v>0.35164835164835168</v>
      </c>
      <c r="F46" s="11">
        <f t="shared" si="23"/>
        <v>0.34430493492762182</v>
      </c>
      <c r="G46" s="17"/>
      <c r="H46" s="6">
        <f t="shared" si="26"/>
        <v>141.19027006305726</v>
      </c>
      <c r="I46" s="6">
        <f t="shared" si="26"/>
        <v>88.94429664639388</v>
      </c>
      <c r="J46" s="6">
        <f t="shared" si="26"/>
        <v>67.87720211001043</v>
      </c>
      <c r="K46" s="6">
        <f t="shared" si="26"/>
        <v>56.031395806442816</v>
      </c>
      <c r="L46" s="6">
        <f t="shared" si="26"/>
        <v>42.759957873185421</v>
      </c>
      <c r="M46" s="6">
        <f t="shared" si="26"/>
        <v>26.937085508522163</v>
      </c>
      <c r="N46" s="6">
        <f t="shared" si="26"/>
        <v>16.969300527502604</v>
      </c>
      <c r="O46" s="6">
        <f t="shared" si="26"/>
        <v>12.950000000000003</v>
      </c>
      <c r="P46" s="6">
        <f t="shared" si="26"/>
        <v>8.1579887980693044</v>
      </c>
      <c r="Q46" s="6">
        <f t="shared" si="26"/>
        <v>5.1392109057470465</v>
      </c>
      <c r="R46" s="6">
        <f t="shared" si="26"/>
        <v>3.2375000000000003</v>
      </c>
    </row>
    <row r="47" spans="1:18" x14ac:dyDescent="0.25">
      <c r="A47" s="33">
        <v>1950</v>
      </c>
      <c r="B47" s="33">
        <v>65.3</v>
      </c>
      <c r="C47" s="11">
        <f t="shared" si="20"/>
        <v>1.8149131812750738</v>
      </c>
      <c r="D47" s="21">
        <f t="shared" si="21"/>
        <v>0</v>
      </c>
      <c r="E47" s="11">
        <f t="shared" si="22"/>
        <v>0.60439560439560436</v>
      </c>
      <c r="F47" s="11">
        <f t="shared" si="23"/>
        <v>0.39787160981119707</v>
      </c>
      <c r="G47" s="17"/>
      <c r="H47" s="6">
        <f t="shared" si="26"/>
        <v>118.65797471193872</v>
      </c>
      <c r="I47" s="6">
        <f t="shared" si="26"/>
        <v>74.749840038732572</v>
      </c>
      <c r="J47" s="6">
        <f t="shared" si="26"/>
        <v>57.044804347280326</v>
      </c>
      <c r="K47" s="6">
        <f t="shared" si="26"/>
        <v>47.089448470536887</v>
      </c>
      <c r="L47" s="6">
        <f t="shared" si="26"/>
        <v>35.935974892136521</v>
      </c>
      <c r="M47" s="6">
        <f t="shared" si="26"/>
        <v>22.638245607548225</v>
      </c>
      <c r="N47" s="6">
        <f t="shared" si="26"/>
        <v>14.261201086820078</v>
      </c>
      <c r="O47" s="6">
        <f t="shared" si="26"/>
        <v>10.883333333333336</v>
      </c>
      <c r="P47" s="6">
        <f t="shared" si="26"/>
        <v>6.8560703798446019</v>
      </c>
      <c r="Q47" s="6">
        <f t="shared" si="26"/>
        <v>4.3190536955634764</v>
      </c>
      <c r="R47" s="6">
        <f t="shared" si="26"/>
        <v>2.7208333333333332</v>
      </c>
    </row>
    <row r="48" spans="1:18" x14ac:dyDescent="0.25">
      <c r="A48" s="33">
        <v>1951</v>
      </c>
      <c r="B48" s="33">
        <v>81.3</v>
      </c>
      <c r="C48" s="11">
        <f t="shared" si="20"/>
        <v>1.9100905455940682</v>
      </c>
      <c r="D48" s="21">
        <f t="shared" si="21"/>
        <v>0</v>
      </c>
      <c r="E48" s="11">
        <f t="shared" si="22"/>
        <v>0.2857142857142857</v>
      </c>
      <c r="F48" s="11">
        <f t="shared" si="23"/>
        <v>0.32975603731883019</v>
      </c>
      <c r="G48" s="17"/>
      <c r="H48" s="6">
        <f t="shared" si="26"/>
        <v>147.73190419725293</v>
      </c>
      <c r="I48" s="6">
        <f t="shared" si="26"/>
        <v>93.065267919585878</v>
      </c>
      <c r="J48" s="6">
        <f t="shared" si="26"/>
        <v>71.022091783061114</v>
      </c>
      <c r="K48" s="6">
        <f t="shared" si="26"/>
        <v>58.627445032996157</v>
      </c>
      <c r="L48" s="6">
        <f t="shared" si="26"/>
        <v>44.741114222522192</v>
      </c>
      <c r="M48" s="6">
        <f t="shared" si="26"/>
        <v>28.185135802353301</v>
      </c>
      <c r="N48" s="6">
        <f t="shared" si="26"/>
        <v>17.755522945765271</v>
      </c>
      <c r="O48" s="6">
        <f t="shared" si="26"/>
        <v>13.55</v>
      </c>
      <c r="P48" s="6">
        <f t="shared" si="26"/>
        <v>8.5359651130377667</v>
      </c>
      <c r="Q48" s="6">
        <f t="shared" si="26"/>
        <v>5.3773210635422757</v>
      </c>
      <c r="R48" s="6">
        <f t="shared" si="26"/>
        <v>3.3875000000000002</v>
      </c>
    </row>
    <row r="49" spans="1:18" x14ac:dyDescent="0.25">
      <c r="A49" s="33">
        <v>1952</v>
      </c>
      <c r="B49" s="33">
        <v>48</v>
      </c>
      <c r="C49" s="11">
        <f t="shared" si="20"/>
        <v>1.6812412373755872</v>
      </c>
      <c r="D49" s="21">
        <f t="shared" si="21"/>
        <v>0</v>
      </c>
      <c r="E49" s="11">
        <f t="shared" si="22"/>
        <v>0.94505494505494503</v>
      </c>
      <c r="F49" s="11">
        <f t="shared" si="23"/>
        <v>0.48091298802485694</v>
      </c>
      <c r="G49" s="17"/>
      <c r="H49" s="6">
        <f t="shared" si="26"/>
        <v>87.221788455942686</v>
      </c>
      <c r="I49" s="6">
        <f t="shared" si="26"/>
        <v>54.946283642559933</v>
      </c>
      <c r="J49" s="6">
        <f t="shared" si="26"/>
        <v>41.931862307342357</v>
      </c>
      <c r="K49" s="6">
        <f t="shared" si="26"/>
        <v>34.613989687377803</v>
      </c>
      <c r="L49" s="6">
        <f t="shared" si="26"/>
        <v>26.415417991157014</v>
      </c>
      <c r="M49" s="6">
        <f t="shared" si="26"/>
        <v>16.640670584415233</v>
      </c>
      <c r="N49" s="6">
        <f t="shared" si="26"/>
        <v>10.482965576835586</v>
      </c>
      <c r="O49" s="6">
        <f t="shared" si="26"/>
        <v>8.0000000000000018</v>
      </c>
      <c r="P49" s="6">
        <f t="shared" si="26"/>
        <v>5.0396841995794919</v>
      </c>
      <c r="Q49" s="6">
        <f t="shared" si="26"/>
        <v>3.1748021039363992</v>
      </c>
      <c r="R49" s="6">
        <f t="shared" si="26"/>
        <v>2</v>
      </c>
    </row>
    <row r="50" spans="1:18" x14ac:dyDescent="0.25">
      <c r="A50" s="33">
        <v>1953</v>
      </c>
      <c r="B50" s="33">
        <v>73.7</v>
      </c>
      <c r="C50" s="11">
        <f t="shared" si="20"/>
        <v>1.8674674878590516</v>
      </c>
      <c r="D50" s="21">
        <f t="shared" si="21"/>
        <v>0</v>
      </c>
      <c r="E50" s="11">
        <f t="shared" si="22"/>
        <v>0.43956043956043955</v>
      </c>
      <c r="F50" s="11">
        <f t="shared" si="23"/>
        <v>0.36100484350412609</v>
      </c>
      <c r="G50" s="17"/>
      <c r="H50" s="6">
        <f t="shared" si="26"/>
        <v>133.9217876917287</v>
      </c>
      <c r="I50" s="6">
        <f t="shared" si="26"/>
        <v>84.365439676180557</v>
      </c>
      <c r="J50" s="6">
        <f t="shared" si="26"/>
        <v>64.382880251065245</v>
      </c>
      <c r="K50" s="6">
        <f t="shared" si="26"/>
        <v>53.14689666582801</v>
      </c>
      <c r="L50" s="6">
        <f t="shared" si="26"/>
        <v>40.558673040588999</v>
      </c>
      <c r="M50" s="6">
        <f t="shared" si="26"/>
        <v>25.550362959820891</v>
      </c>
      <c r="N50" s="6">
        <f t="shared" si="26"/>
        <v>16.095720062766308</v>
      </c>
      <c r="O50" s="6">
        <f t="shared" si="26"/>
        <v>12.283333333333337</v>
      </c>
      <c r="P50" s="6">
        <f t="shared" si="26"/>
        <v>7.7380151147710139</v>
      </c>
      <c r="Q50" s="6">
        <f t="shared" si="26"/>
        <v>4.8746440637523465</v>
      </c>
      <c r="R50" s="6">
        <f t="shared" si="26"/>
        <v>3.0708333333333333</v>
      </c>
    </row>
    <row r="51" spans="1:18" x14ac:dyDescent="0.25">
      <c r="A51" s="33">
        <v>1954</v>
      </c>
      <c r="B51" s="33">
        <v>63.8</v>
      </c>
      <c r="C51" s="11">
        <f t="shared" si="20"/>
        <v>1.8048206787211623</v>
      </c>
      <c r="D51" s="21">
        <f t="shared" si="21"/>
        <v>0</v>
      </c>
      <c r="E51" s="11">
        <f t="shared" si="22"/>
        <v>0.64835164835164838</v>
      </c>
      <c r="F51" s="11">
        <f t="shared" si="23"/>
        <v>0.40470471009748155</v>
      </c>
      <c r="G51" s="17"/>
      <c r="H51" s="6">
        <f t="shared" si="26"/>
        <v>115.93229382269051</v>
      </c>
      <c r="I51" s="6">
        <f t="shared" si="26"/>
        <v>73.03276867490257</v>
      </c>
      <c r="J51" s="6">
        <f t="shared" si="26"/>
        <v>55.734433650175873</v>
      </c>
      <c r="K51" s="6">
        <f t="shared" si="26"/>
        <v>46.007761292806329</v>
      </c>
      <c r="L51" s="6">
        <f t="shared" si="26"/>
        <v>35.110493079912864</v>
      </c>
      <c r="M51" s="6">
        <f t="shared" si="26"/>
        <v>22.118224651785248</v>
      </c>
      <c r="N51" s="6">
        <f t="shared" si="26"/>
        <v>13.933608412543965</v>
      </c>
      <c r="O51" s="6">
        <f t="shared" si="26"/>
        <v>10.633333333333335</v>
      </c>
      <c r="P51" s="6">
        <f t="shared" si="26"/>
        <v>6.698580248607743</v>
      </c>
      <c r="Q51" s="6">
        <f t="shared" si="26"/>
        <v>4.2198411298154639</v>
      </c>
      <c r="R51" s="6">
        <f t="shared" si="26"/>
        <v>2.6583333333333332</v>
      </c>
    </row>
    <row r="52" spans="1:18" x14ac:dyDescent="0.25">
      <c r="A52" s="33">
        <v>1955</v>
      </c>
      <c r="B52" s="33">
        <v>69.8</v>
      </c>
      <c r="C52" s="11">
        <f t="shared" si="20"/>
        <v>1.8438554226231612</v>
      </c>
      <c r="D52" s="21">
        <f t="shared" si="21"/>
        <v>0</v>
      </c>
      <c r="E52" s="11">
        <f t="shared" si="22"/>
        <v>0.49450549450549453</v>
      </c>
      <c r="F52" s="11">
        <f t="shared" si="23"/>
        <v>0.37782258145125736</v>
      </c>
      <c r="G52" s="17"/>
      <c r="H52" s="6">
        <f t="shared" si="26"/>
        <v>126.83501737968334</v>
      </c>
      <c r="I52" s="6">
        <f t="shared" si="26"/>
        <v>79.901054130222576</v>
      </c>
      <c r="J52" s="6">
        <f t="shared" si="26"/>
        <v>60.975916438593671</v>
      </c>
      <c r="K52" s="6">
        <f t="shared" si="26"/>
        <v>50.334510003728553</v>
      </c>
      <c r="L52" s="6">
        <f t="shared" si="26"/>
        <v>38.412420328807492</v>
      </c>
      <c r="M52" s="6">
        <f t="shared" si="26"/>
        <v>24.198308474837152</v>
      </c>
      <c r="N52" s="6">
        <f t="shared" si="26"/>
        <v>15.243979109648414</v>
      </c>
      <c r="O52" s="6">
        <f t="shared" si="26"/>
        <v>11.633333333333335</v>
      </c>
      <c r="P52" s="6">
        <f t="shared" si="26"/>
        <v>7.3285407735551793</v>
      </c>
      <c r="Q52" s="6">
        <f t="shared" si="26"/>
        <v>4.6166913928075139</v>
      </c>
      <c r="R52" s="6">
        <f t="shared" si="26"/>
        <v>2.9083333333333332</v>
      </c>
    </row>
    <row r="53" spans="1:18" x14ac:dyDescent="0.25">
      <c r="A53" s="33">
        <v>1956</v>
      </c>
      <c r="B53" s="33">
        <v>52.6</v>
      </c>
      <c r="C53" s="11">
        <f t="shared" si="20"/>
        <v>1.7209857441537391</v>
      </c>
      <c r="D53" s="21">
        <f t="shared" si="21"/>
        <v>0</v>
      </c>
      <c r="E53" s="11">
        <f t="shared" si="22"/>
        <v>0.87912087912087911</v>
      </c>
      <c r="F53" s="11">
        <f t="shared" si="23"/>
        <v>0.4579722957597957</v>
      </c>
      <c r="G53" s="17"/>
      <c r="H53" s="6">
        <f t="shared" si="26"/>
        <v>95.580543182970544</v>
      </c>
      <c r="I53" s="6">
        <f t="shared" si="26"/>
        <v>60.211969158305259</v>
      </c>
      <c r="J53" s="6">
        <f t="shared" si="26"/>
        <v>45.950332445129327</v>
      </c>
      <c r="K53" s="6">
        <f t="shared" si="26"/>
        <v>37.931163699084848</v>
      </c>
      <c r="L53" s="6">
        <f t="shared" si="26"/>
        <v>28.946895548642896</v>
      </c>
      <c r="M53" s="6">
        <f t="shared" si="26"/>
        <v>18.235401515421696</v>
      </c>
      <c r="N53" s="6">
        <f t="shared" si="26"/>
        <v>11.48758311128233</v>
      </c>
      <c r="O53" s="6">
        <f t="shared" si="26"/>
        <v>8.7666666666666693</v>
      </c>
      <c r="P53" s="6">
        <f t="shared" si="26"/>
        <v>5.5226539353725279</v>
      </c>
      <c r="Q53" s="6">
        <f t="shared" si="26"/>
        <v>3.4790539722303047</v>
      </c>
      <c r="R53" s="6">
        <f t="shared" si="26"/>
        <v>2.1916666666666664</v>
      </c>
    </row>
    <row r="54" spans="1:18" x14ac:dyDescent="0.25">
      <c r="A54" s="33">
        <v>1957</v>
      </c>
      <c r="B54" s="33">
        <v>56.6</v>
      </c>
      <c r="C54" s="11">
        <f t="shared" si="20"/>
        <v>1.7528164311882715</v>
      </c>
      <c r="D54" s="21">
        <f t="shared" si="21"/>
        <v>0</v>
      </c>
      <c r="E54" s="11">
        <f t="shared" si="22"/>
        <v>0.80219780219780223</v>
      </c>
      <c r="F54" s="11">
        <f t="shared" si="23"/>
        <v>0.43850844776038489</v>
      </c>
      <c r="G54" s="17"/>
      <c r="H54" s="6">
        <f t="shared" si="26"/>
        <v>102.84902555429909</v>
      </c>
      <c r="I54" s="6">
        <f t="shared" si="26"/>
        <v>64.790826128518589</v>
      </c>
      <c r="J54" s="6">
        <f t="shared" si="26"/>
        <v>49.444654304074525</v>
      </c>
      <c r="K54" s="6">
        <f t="shared" si="26"/>
        <v>40.815662839699662</v>
      </c>
      <c r="L54" s="6">
        <f t="shared" si="26"/>
        <v>31.148180381239314</v>
      </c>
      <c r="M54" s="6">
        <f t="shared" si="26"/>
        <v>19.622124064122964</v>
      </c>
      <c r="N54" s="6">
        <f t="shared" si="26"/>
        <v>12.361163576018628</v>
      </c>
      <c r="O54" s="6">
        <f t="shared" si="26"/>
        <v>9.4333333333333353</v>
      </c>
      <c r="P54" s="6">
        <f t="shared" si="26"/>
        <v>5.9426276186708185</v>
      </c>
      <c r="Q54" s="6">
        <f t="shared" si="26"/>
        <v>3.7436208142250047</v>
      </c>
      <c r="R54" s="6">
        <f t="shared" si="26"/>
        <v>2.3583333333333334</v>
      </c>
    </row>
    <row r="55" spans="1:18" x14ac:dyDescent="0.25">
      <c r="A55" s="33">
        <v>1958</v>
      </c>
      <c r="B55" s="33">
        <v>74.900000000000006</v>
      </c>
      <c r="C55" s="11">
        <f t="shared" si="20"/>
        <v>1.8744818176994664</v>
      </c>
      <c r="D55" s="21">
        <f t="shared" si="21"/>
        <v>0</v>
      </c>
      <c r="E55" s="11">
        <f t="shared" si="22"/>
        <v>0.4175824175824176</v>
      </c>
      <c r="F55" s="11">
        <f t="shared" si="23"/>
        <v>0.35593612150480725</v>
      </c>
      <c r="G55" s="17"/>
      <c r="H55" s="6">
        <f t="shared" si="26"/>
        <v>136.10233240312726</v>
      </c>
      <c r="I55" s="6">
        <f t="shared" si="26"/>
        <v>85.739096767244575</v>
      </c>
      <c r="J55" s="6">
        <f t="shared" si="26"/>
        <v>65.431176808748802</v>
      </c>
      <c r="K55" s="6">
        <f t="shared" si="26"/>
        <v>54.012246408012452</v>
      </c>
      <c r="L55" s="6">
        <f t="shared" si="26"/>
        <v>41.219058490367928</v>
      </c>
      <c r="M55" s="6">
        <f t="shared" si="26"/>
        <v>25.966379724431274</v>
      </c>
      <c r="N55" s="6">
        <f t="shared" si="26"/>
        <v>16.357794202187197</v>
      </c>
      <c r="O55" s="6">
        <f t="shared" si="26"/>
        <v>12.483333333333336</v>
      </c>
      <c r="P55" s="6">
        <f t="shared" si="26"/>
        <v>7.8640072197605013</v>
      </c>
      <c r="Q55" s="6">
        <f t="shared" si="26"/>
        <v>4.9540141163507565</v>
      </c>
      <c r="R55" s="6">
        <f t="shared" si="26"/>
        <v>3.1208333333333336</v>
      </c>
    </row>
    <row r="56" spans="1:18" x14ac:dyDescent="0.25">
      <c r="A56" s="33">
        <v>1959</v>
      </c>
      <c r="B56" s="33">
        <v>65.3</v>
      </c>
      <c r="C56" s="11">
        <f t="shared" si="20"/>
        <v>1.8149131812750738</v>
      </c>
      <c r="D56" s="21">
        <f t="shared" ref="D56:D87" si="27">IF(OR(C56&gt;$R$10,C56&lt;$R$11,B56&gt;150),"YES",0)</f>
        <v>0</v>
      </c>
      <c r="E56" s="11">
        <f t="shared" ref="E56:E87" si="28">RANK(B56,B$24:B$113)/($B$18+1)</f>
        <v>0.60439560439560436</v>
      </c>
      <c r="F56" s="11">
        <f t="shared" ref="F56:F87" si="29">1-EXP(-EXP(-(B56-$R$5)/$R$4))</f>
        <v>0.39787160981119707</v>
      </c>
      <c r="G56" s="17"/>
      <c r="H56" s="6">
        <f t="shared" si="26"/>
        <v>118.65797471193872</v>
      </c>
      <c r="I56" s="6">
        <f t="shared" si="26"/>
        <v>74.749840038732572</v>
      </c>
      <c r="J56" s="6">
        <f t="shared" si="26"/>
        <v>57.044804347280326</v>
      </c>
      <c r="K56" s="6">
        <f t="shared" si="26"/>
        <v>47.089448470536887</v>
      </c>
      <c r="L56" s="6">
        <f t="shared" si="26"/>
        <v>35.935974892136521</v>
      </c>
      <c r="M56" s="6">
        <f t="shared" si="26"/>
        <v>22.638245607548225</v>
      </c>
      <c r="N56" s="6">
        <f t="shared" si="26"/>
        <v>14.261201086820078</v>
      </c>
      <c r="O56" s="6">
        <f t="shared" si="26"/>
        <v>10.883333333333336</v>
      </c>
      <c r="P56" s="6">
        <f t="shared" si="26"/>
        <v>6.8560703798446019</v>
      </c>
      <c r="Q56" s="6">
        <f t="shared" si="26"/>
        <v>4.3190536955634764</v>
      </c>
      <c r="R56" s="6">
        <f t="shared" si="26"/>
        <v>2.7208333333333332</v>
      </c>
    </row>
    <row r="57" spans="1:18" x14ac:dyDescent="0.25">
      <c r="A57" s="33">
        <v>1960</v>
      </c>
      <c r="B57" s="33">
        <v>61.5</v>
      </c>
      <c r="C57" s="11">
        <f t="shared" si="20"/>
        <v>1.7888751157754168</v>
      </c>
      <c r="D57" s="21">
        <f t="shared" si="27"/>
        <v>0</v>
      </c>
      <c r="E57" s="11">
        <f t="shared" si="28"/>
        <v>0.70329670329670335</v>
      </c>
      <c r="F57" s="11">
        <f t="shared" si="29"/>
        <v>0.41532465339008084</v>
      </c>
      <c r="G57" s="17"/>
      <c r="H57" s="6">
        <f t="shared" ref="H57:N66" si="30">($B57*((H$23/60)/24)^(1/3))/H$23*60</f>
        <v>111.75291645917657</v>
      </c>
      <c r="I57" s="6">
        <f t="shared" si="30"/>
        <v>70.399925917029904</v>
      </c>
      <c r="J57" s="6">
        <f t="shared" si="30"/>
        <v>53.725198581282392</v>
      </c>
      <c r="K57" s="6">
        <f t="shared" si="30"/>
        <v>44.34917428695281</v>
      </c>
      <c r="L57" s="6">
        <f t="shared" si="30"/>
        <v>33.844754301169921</v>
      </c>
      <c r="M57" s="6">
        <f t="shared" si="30"/>
        <v>21.320859186282018</v>
      </c>
      <c r="N57" s="6">
        <f t="shared" si="30"/>
        <v>13.431299645320594</v>
      </c>
      <c r="O57" s="6">
        <f t="shared" ref="O57:Q72" si="31">($B57*((O$23/60)/24)^(1/3))/O$23*60</f>
        <v>10.250000000000002</v>
      </c>
      <c r="P57" s="6">
        <f t="shared" si="31"/>
        <v>6.4570953807112259</v>
      </c>
      <c r="Q57" s="6">
        <f t="shared" si="31"/>
        <v>4.0677151956685114</v>
      </c>
      <c r="R57" s="6">
        <f t="shared" ref="R57:R88" si="32">($B57*((R$23/60)/24)^(1/3))/R$23*60</f>
        <v>2.5625</v>
      </c>
    </row>
    <row r="58" spans="1:18" x14ac:dyDescent="0.25">
      <c r="A58" s="33">
        <v>1961</v>
      </c>
      <c r="B58" s="33">
        <v>50.5</v>
      </c>
      <c r="C58" s="11">
        <f t="shared" si="20"/>
        <v>1.7032913781186614</v>
      </c>
      <c r="D58" s="21">
        <f t="shared" si="27"/>
        <v>0</v>
      </c>
      <c r="E58" s="11">
        <f t="shared" si="28"/>
        <v>0.91208791208791207</v>
      </c>
      <c r="F58" s="11">
        <f t="shared" si="29"/>
        <v>0.46837401314260896</v>
      </c>
      <c r="G58" s="17"/>
      <c r="H58" s="6">
        <f t="shared" si="30"/>
        <v>91.764589938023036</v>
      </c>
      <c r="I58" s="6">
        <f t="shared" si="30"/>
        <v>57.808069248943262</v>
      </c>
      <c r="J58" s="6">
        <f t="shared" si="30"/>
        <v>44.115813469183102</v>
      </c>
      <c r="K58" s="6">
        <f t="shared" si="30"/>
        <v>36.416801650262066</v>
      </c>
      <c r="L58" s="6">
        <f t="shared" si="30"/>
        <v>27.791221011529775</v>
      </c>
      <c r="M58" s="6">
        <f t="shared" si="30"/>
        <v>17.507372177353528</v>
      </c>
      <c r="N58" s="6">
        <f t="shared" si="30"/>
        <v>11.028953367295772</v>
      </c>
      <c r="O58" s="6">
        <f t="shared" si="31"/>
        <v>8.4166666666666679</v>
      </c>
      <c r="P58" s="6">
        <f t="shared" si="31"/>
        <v>5.3021677516409245</v>
      </c>
      <c r="Q58" s="6">
        <f t="shared" si="31"/>
        <v>3.3401563801830862</v>
      </c>
      <c r="R58" s="6">
        <f t="shared" si="32"/>
        <v>2.1041666666666665</v>
      </c>
    </row>
    <row r="59" spans="1:18" x14ac:dyDescent="0.25">
      <c r="A59" s="33">
        <v>1962</v>
      </c>
      <c r="B59" s="33">
        <v>51.6</v>
      </c>
      <c r="C59" s="11">
        <f t="shared" si="20"/>
        <v>1.7126497016272113</v>
      </c>
      <c r="D59" s="21">
        <f t="shared" si="27"/>
        <v>0</v>
      </c>
      <c r="E59" s="11">
        <f t="shared" si="28"/>
        <v>0.89010989010989006</v>
      </c>
      <c r="F59" s="11">
        <f t="shared" si="29"/>
        <v>0.46291021822745737</v>
      </c>
      <c r="G59" s="17"/>
      <c r="H59" s="6">
        <f t="shared" si="30"/>
        <v>93.763422590138404</v>
      </c>
      <c r="I59" s="6">
        <f t="shared" si="30"/>
        <v>59.067254915751931</v>
      </c>
      <c r="J59" s="6">
        <f t="shared" si="30"/>
        <v>45.076751980393034</v>
      </c>
      <c r="K59" s="6">
        <f t="shared" si="30"/>
        <v>37.210038913931143</v>
      </c>
      <c r="L59" s="6">
        <f t="shared" si="30"/>
        <v>28.396574340493792</v>
      </c>
      <c r="M59" s="6">
        <f t="shared" si="30"/>
        <v>17.888720878246378</v>
      </c>
      <c r="N59" s="6">
        <f t="shared" si="30"/>
        <v>11.269187995098255</v>
      </c>
      <c r="O59" s="6">
        <f t="shared" si="31"/>
        <v>8.6000000000000014</v>
      </c>
      <c r="P59" s="6">
        <f t="shared" si="31"/>
        <v>5.4176605145479551</v>
      </c>
      <c r="Q59" s="6">
        <f t="shared" si="31"/>
        <v>3.4129122617316296</v>
      </c>
      <c r="R59" s="6">
        <f t="shared" si="32"/>
        <v>2.15</v>
      </c>
    </row>
    <row r="60" spans="1:18" x14ac:dyDescent="0.25">
      <c r="A60" s="33">
        <v>1963</v>
      </c>
      <c r="B60" s="33">
        <v>71.900000000000006</v>
      </c>
      <c r="C60" s="11">
        <f t="shared" si="20"/>
        <v>1.8567288903828827</v>
      </c>
      <c r="D60" s="21">
        <f t="shared" si="27"/>
        <v>0</v>
      </c>
      <c r="E60" s="11">
        <f t="shared" si="28"/>
        <v>0.45054945054945056</v>
      </c>
      <c r="F60" s="11">
        <f t="shared" si="29"/>
        <v>0.36870170953896797</v>
      </c>
      <c r="G60" s="17"/>
      <c r="H60" s="6">
        <f t="shared" si="30"/>
        <v>130.65097062463084</v>
      </c>
      <c r="I60" s="6">
        <f t="shared" si="30"/>
        <v>82.304954039584572</v>
      </c>
      <c r="J60" s="6">
        <f t="shared" si="30"/>
        <v>62.810435414539903</v>
      </c>
      <c r="K60" s="6">
        <f t="shared" si="30"/>
        <v>51.848872052551336</v>
      </c>
      <c r="L60" s="6">
        <f t="shared" si="30"/>
        <v>39.568094865920614</v>
      </c>
      <c r="M60" s="6">
        <f t="shared" si="30"/>
        <v>24.926337812905324</v>
      </c>
      <c r="N60" s="6">
        <f t="shared" si="30"/>
        <v>15.702608853634972</v>
      </c>
      <c r="O60" s="6">
        <f t="shared" si="31"/>
        <v>11.983333333333336</v>
      </c>
      <c r="P60" s="6">
        <f t="shared" si="31"/>
        <v>7.5490269572867827</v>
      </c>
      <c r="Q60" s="6">
        <f t="shared" si="31"/>
        <v>4.7555889848547315</v>
      </c>
      <c r="R60" s="6">
        <f t="shared" si="32"/>
        <v>2.9958333333333336</v>
      </c>
    </row>
    <row r="61" spans="1:18" x14ac:dyDescent="0.25">
      <c r="A61" s="33">
        <v>1964</v>
      </c>
      <c r="B61" s="33">
        <v>46.2</v>
      </c>
      <c r="C61" s="11">
        <f t="shared" si="20"/>
        <v>1.6646419755561255</v>
      </c>
      <c r="D61" s="21">
        <f t="shared" si="27"/>
        <v>0</v>
      </c>
      <c r="E61" s="11">
        <f t="shared" si="28"/>
        <v>0.96703296703296704</v>
      </c>
      <c r="F61" s="11">
        <f t="shared" si="29"/>
        <v>0.49004133505007597</v>
      </c>
      <c r="G61" s="17"/>
      <c r="H61" s="6">
        <f t="shared" si="30"/>
        <v>83.950971388844849</v>
      </c>
      <c r="I61" s="6">
        <f t="shared" si="30"/>
        <v>52.885798005963935</v>
      </c>
      <c r="J61" s="6">
        <f t="shared" si="30"/>
        <v>40.359417470817014</v>
      </c>
      <c r="K61" s="6">
        <f t="shared" si="30"/>
        <v>33.315965074101143</v>
      </c>
      <c r="L61" s="6">
        <f t="shared" si="30"/>
        <v>25.424839816488628</v>
      </c>
      <c r="M61" s="6">
        <f t="shared" si="30"/>
        <v>16.016645437499665</v>
      </c>
      <c r="N61" s="6">
        <f t="shared" si="30"/>
        <v>10.089854367704252</v>
      </c>
      <c r="O61" s="6">
        <f t="shared" si="31"/>
        <v>7.7000000000000011</v>
      </c>
      <c r="P61" s="6">
        <f t="shared" si="31"/>
        <v>4.8506960420952616</v>
      </c>
      <c r="Q61" s="6">
        <f t="shared" si="31"/>
        <v>3.0557470250387841</v>
      </c>
      <c r="R61" s="6">
        <f t="shared" si="32"/>
        <v>1.9250000000000003</v>
      </c>
    </row>
    <row r="62" spans="1:18" x14ac:dyDescent="0.25">
      <c r="A62" s="33">
        <v>1965</v>
      </c>
      <c r="B62" s="33">
        <v>40.4</v>
      </c>
      <c r="C62" s="11">
        <f t="shared" si="20"/>
        <v>1.6063813651106049</v>
      </c>
      <c r="D62" s="21">
        <f t="shared" si="27"/>
        <v>0</v>
      </c>
      <c r="E62" s="11">
        <f t="shared" si="28"/>
        <v>0.98901098901098905</v>
      </c>
      <c r="F62" s="11">
        <f t="shared" si="29"/>
        <v>0.51997900385941209</v>
      </c>
      <c r="G62" s="17"/>
      <c r="H62" s="6">
        <f t="shared" si="30"/>
        <v>73.411671950418437</v>
      </c>
      <c r="I62" s="6">
        <f t="shared" si="30"/>
        <v>46.246455399154605</v>
      </c>
      <c r="J62" s="6">
        <f t="shared" si="30"/>
        <v>35.29265077534648</v>
      </c>
      <c r="K62" s="6">
        <f t="shared" si="30"/>
        <v>29.133441320209652</v>
      </c>
      <c r="L62" s="6">
        <f t="shared" si="30"/>
        <v>22.232976809223818</v>
      </c>
      <c r="M62" s="6">
        <f t="shared" si="30"/>
        <v>14.005897741882821</v>
      </c>
      <c r="N62" s="6">
        <f t="shared" si="30"/>
        <v>8.8231626938366183</v>
      </c>
      <c r="O62" s="6">
        <f t="shared" si="31"/>
        <v>6.7333333333333343</v>
      </c>
      <c r="P62" s="6">
        <f t="shared" si="31"/>
        <v>4.241734201312739</v>
      </c>
      <c r="Q62" s="6">
        <f t="shared" si="31"/>
        <v>2.6721251041464695</v>
      </c>
      <c r="R62" s="6">
        <f t="shared" si="32"/>
        <v>1.6833333333333333</v>
      </c>
    </row>
    <row r="63" spans="1:18" x14ac:dyDescent="0.25">
      <c r="A63" s="33">
        <v>1966</v>
      </c>
      <c r="B63" s="33">
        <v>54.4</v>
      </c>
      <c r="C63" s="11">
        <f t="shared" si="20"/>
        <v>1.7355988996981799</v>
      </c>
      <c r="D63" s="21">
        <f t="shared" si="27"/>
        <v>0</v>
      </c>
      <c r="E63" s="11">
        <f t="shared" si="28"/>
        <v>0.84615384615384615</v>
      </c>
      <c r="F63" s="11">
        <f t="shared" si="29"/>
        <v>0.44915569075518302</v>
      </c>
      <c r="G63" s="17"/>
      <c r="H63" s="6">
        <f t="shared" si="30"/>
        <v>98.851360250068396</v>
      </c>
      <c r="I63" s="6">
        <f t="shared" si="30"/>
        <v>62.27245479490125</v>
      </c>
      <c r="J63" s="6">
        <f t="shared" si="30"/>
        <v>47.522777281654669</v>
      </c>
      <c r="K63" s="6">
        <f t="shared" si="30"/>
        <v>39.229188312361508</v>
      </c>
      <c r="L63" s="6">
        <f t="shared" si="30"/>
        <v>29.937473723311282</v>
      </c>
      <c r="M63" s="6">
        <f t="shared" si="30"/>
        <v>18.859426662337267</v>
      </c>
      <c r="N63" s="6">
        <f t="shared" si="30"/>
        <v>11.880694320413664</v>
      </c>
      <c r="O63" s="6">
        <f t="shared" si="31"/>
        <v>9.0666666666666682</v>
      </c>
      <c r="P63" s="6">
        <f t="shared" si="31"/>
        <v>5.7116420928567591</v>
      </c>
      <c r="Q63" s="6">
        <f t="shared" si="31"/>
        <v>3.5981090511279188</v>
      </c>
      <c r="R63" s="6">
        <f t="shared" si="32"/>
        <v>2.2666666666666666</v>
      </c>
    </row>
    <row r="64" spans="1:18" x14ac:dyDescent="0.25">
      <c r="A64" s="33">
        <v>1967</v>
      </c>
      <c r="B64" s="33">
        <v>75.400000000000006</v>
      </c>
      <c r="C64" s="11">
        <f t="shared" si="20"/>
        <v>1.8773713458697741</v>
      </c>
      <c r="D64" s="21">
        <f t="shared" si="27"/>
        <v>0</v>
      </c>
      <c r="E64" s="11">
        <f t="shared" si="28"/>
        <v>0.40659340659340659</v>
      </c>
      <c r="F64" s="11">
        <f t="shared" si="29"/>
        <v>0.35383898047218154</v>
      </c>
      <c r="G64" s="17"/>
      <c r="H64" s="6">
        <f t="shared" si="30"/>
        <v>137.01089269954332</v>
      </c>
      <c r="I64" s="6">
        <f t="shared" si="30"/>
        <v>86.311453888521228</v>
      </c>
      <c r="J64" s="6">
        <f t="shared" si="30"/>
        <v>65.867967041116955</v>
      </c>
      <c r="K64" s="6">
        <f t="shared" si="30"/>
        <v>54.372808800589304</v>
      </c>
      <c r="L64" s="6">
        <f t="shared" si="30"/>
        <v>41.494219094442478</v>
      </c>
      <c r="M64" s="6">
        <f t="shared" si="30"/>
        <v>26.139720043018933</v>
      </c>
      <c r="N64" s="6">
        <f t="shared" si="30"/>
        <v>16.466991760279235</v>
      </c>
      <c r="O64" s="6">
        <f t="shared" si="31"/>
        <v>12.56666666666667</v>
      </c>
      <c r="P64" s="6">
        <f t="shared" si="31"/>
        <v>7.9165039301727882</v>
      </c>
      <c r="Q64" s="6">
        <f t="shared" si="31"/>
        <v>4.987084971600094</v>
      </c>
      <c r="R64" s="6">
        <f t="shared" si="32"/>
        <v>3.1416666666666671</v>
      </c>
    </row>
    <row r="65" spans="1:18" x14ac:dyDescent="0.25">
      <c r="A65" s="33">
        <v>1968</v>
      </c>
      <c r="B65" s="33">
        <v>47.5</v>
      </c>
      <c r="C65" s="11">
        <f t="shared" si="20"/>
        <v>1.6766936096248666</v>
      </c>
      <c r="D65" s="21">
        <f t="shared" si="27"/>
        <v>0</v>
      </c>
      <c r="E65" s="11">
        <f t="shared" si="28"/>
        <v>0.95604395604395609</v>
      </c>
      <c r="F65" s="11">
        <f t="shared" si="29"/>
        <v>0.48344041166120377</v>
      </c>
      <c r="G65" s="17"/>
      <c r="H65" s="6">
        <f t="shared" si="30"/>
        <v>86.313228159526631</v>
      </c>
      <c r="I65" s="6">
        <f t="shared" si="30"/>
        <v>54.373926521283266</v>
      </c>
      <c r="J65" s="6">
        <f t="shared" si="30"/>
        <v>41.495072074974203</v>
      </c>
      <c r="K65" s="6">
        <f t="shared" si="30"/>
        <v>34.25342729480095</v>
      </c>
      <c r="L65" s="6">
        <f t="shared" si="30"/>
        <v>26.14025738708246</v>
      </c>
      <c r="M65" s="6">
        <f t="shared" si="30"/>
        <v>16.467330265827577</v>
      </c>
      <c r="N65" s="6">
        <f t="shared" si="30"/>
        <v>10.373768018743549</v>
      </c>
      <c r="O65" s="6">
        <f t="shared" si="31"/>
        <v>7.9166666666666687</v>
      </c>
      <c r="P65" s="6">
        <f t="shared" si="31"/>
        <v>4.9871874891672059</v>
      </c>
      <c r="Q65" s="6">
        <f t="shared" si="31"/>
        <v>3.1417312486870612</v>
      </c>
      <c r="R65" s="6">
        <f t="shared" si="32"/>
        <v>1.9791666666666667</v>
      </c>
    </row>
    <row r="66" spans="1:18" x14ac:dyDescent="0.25">
      <c r="A66" s="33">
        <v>1969</v>
      </c>
      <c r="B66" s="33">
        <v>50.5</v>
      </c>
      <c r="C66" s="11">
        <f t="shared" si="20"/>
        <v>1.7032913781186614</v>
      </c>
      <c r="D66" s="21">
        <f t="shared" si="27"/>
        <v>0</v>
      </c>
      <c r="E66" s="11">
        <f t="shared" si="28"/>
        <v>0.91208791208791207</v>
      </c>
      <c r="F66" s="11">
        <f t="shared" si="29"/>
        <v>0.46837401314260896</v>
      </c>
      <c r="G66" s="17"/>
      <c r="H66" s="6">
        <f t="shared" si="30"/>
        <v>91.764589938023036</v>
      </c>
      <c r="I66" s="6">
        <f t="shared" si="30"/>
        <v>57.808069248943262</v>
      </c>
      <c r="J66" s="6">
        <f t="shared" si="30"/>
        <v>44.115813469183102</v>
      </c>
      <c r="K66" s="6">
        <f t="shared" si="30"/>
        <v>36.416801650262066</v>
      </c>
      <c r="L66" s="6">
        <f t="shared" si="30"/>
        <v>27.791221011529775</v>
      </c>
      <c r="M66" s="6">
        <f t="shared" si="30"/>
        <v>17.507372177353528</v>
      </c>
      <c r="N66" s="6">
        <f t="shared" si="30"/>
        <v>11.028953367295772</v>
      </c>
      <c r="O66" s="6">
        <f t="shared" si="31"/>
        <v>8.4166666666666679</v>
      </c>
      <c r="P66" s="6">
        <f t="shared" si="31"/>
        <v>5.3021677516409245</v>
      </c>
      <c r="Q66" s="6">
        <f t="shared" si="31"/>
        <v>3.3401563801830862</v>
      </c>
      <c r="R66" s="6">
        <f t="shared" si="32"/>
        <v>2.1041666666666665</v>
      </c>
    </row>
    <row r="67" spans="1:18" x14ac:dyDescent="0.25">
      <c r="A67" s="33">
        <v>1970</v>
      </c>
      <c r="B67" s="33">
        <v>51.3</v>
      </c>
      <c r="C67" s="11">
        <f t="shared" si="20"/>
        <v>1.7101173651118162</v>
      </c>
      <c r="D67" s="21">
        <f t="shared" si="27"/>
        <v>0</v>
      </c>
      <c r="E67" s="11">
        <f t="shared" si="28"/>
        <v>0.90109890109890112</v>
      </c>
      <c r="F67" s="11">
        <f t="shared" si="29"/>
        <v>0.46439703831550927</v>
      </c>
      <c r="G67" s="17"/>
      <c r="H67" s="6">
        <f t="shared" ref="H67:N76" si="33">($B67*((H$23/60)/24)^(1/3))/H$23*60</f>
        <v>93.218286412288762</v>
      </c>
      <c r="I67" s="6">
        <f t="shared" si="33"/>
        <v>58.723840642985927</v>
      </c>
      <c r="J67" s="6">
        <f t="shared" si="33"/>
        <v>44.814677840972138</v>
      </c>
      <c r="K67" s="6">
        <f t="shared" si="33"/>
        <v>36.993701478385027</v>
      </c>
      <c r="L67" s="6">
        <f t="shared" si="33"/>
        <v>28.231477978049057</v>
      </c>
      <c r="M67" s="6">
        <f t="shared" si="33"/>
        <v>17.784716687093781</v>
      </c>
      <c r="N67" s="6">
        <f t="shared" si="33"/>
        <v>11.203669460243031</v>
      </c>
      <c r="O67" s="6">
        <f t="shared" si="31"/>
        <v>8.5500000000000025</v>
      </c>
      <c r="P67" s="6">
        <f t="shared" si="31"/>
        <v>5.3861624883005819</v>
      </c>
      <c r="Q67" s="6">
        <f t="shared" si="31"/>
        <v>3.3930697485820263</v>
      </c>
      <c r="R67" s="6">
        <f t="shared" si="32"/>
        <v>2.1374999999999997</v>
      </c>
    </row>
    <row r="68" spans="1:18" x14ac:dyDescent="0.25">
      <c r="A68" s="33">
        <v>1971</v>
      </c>
      <c r="B68" s="33">
        <v>69.099999999999994</v>
      </c>
      <c r="C68" s="11">
        <f t="shared" si="20"/>
        <v>1.8394780473741983</v>
      </c>
      <c r="D68" s="21">
        <f t="shared" si="27"/>
        <v>0</v>
      </c>
      <c r="E68" s="11">
        <f t="shared" si="28"/>
        <v>0.53846153846153844</v>
      </c>
      <c r="F68" s="11">
        <f t="shared" si="29"/>
        <v>0.38089640513659173</v>
      </c>
      <c r="G68" s="17"/>
      <c r="H68" s="6">
        <f t="shared" si="33"/>
        <v>125.56303296470082</v>
      </c>
      <c r="I68" s="6">
        <f t="shared" si="33"/>
        <v>79.099754160435211</v>
      </c>
      <c r="J68" s="6">
        <f t="shared" si="33"/>
        <v>60.364410113278254</v>
      </c>
      <c r="K68" s="6">
        <f t="shared" si="33"/>
        <v>49.829722654120957</v>
      </c>
      <c r="L68" s="6">
        <f t="shared" si="33"/>
        <v>38.027195483103114</v>
      </c>
      <c r="M68" s="6">
        <f t="shared" si="33"/>
        <v>23.955632028814428</v>
      </c>
      <c r="N68" s="6">
        <f t="shared" si="33"/>
        <v>15.091102528319562</v>
      </c>
      <c r="O68" s="6">
        <f t="shared" si="31"/>
        <v>11.516666666666669</v>
      </c>
      <c r="P68" s="6">
        <f t="shared" si="31"/>
        <v>7.255045378977977</v>
      </c>
      <c r="Q68" s="6">
        <f t="shared" si="31"/>
        <v>4.5703921954584406</v>
      </c>
      <c r="R68" s="6">
        <f t="shared" si="32"/>
        <v>2.8791666666666664</v>
      </c>
    </row>
    <row r="69" spans="1:18" x14ac:dyDescent="0.25">
      <c r="A69" s="33">
        <v>1972</v>
      </c>
      <c r="B69" s="33">
        <v>49</v>
      </c>
      <c r="C69" s="11">
        <f t="shared" si="20"/>
        <v>1.6901960800285136</v>
      </c>
      <c r="D69" s="21">
        <f t="shared" si="27"/>
        <v>0</v>
      </c>
      <c r="E69" s="11">
        <f t="shared" si="28"/>
        <v>0.93406593406593408</v>
      </c>
      <c r="F69" s="11">
        <f t="shared" si="29"/>
        <v>0.47587755164865353</v>
      </c>
      <c r="G69" s="17"/>
      <c r="H69" s="6">
        <f t="shared" si="33"/>
        <v>89.038909048774826</v>
      </c>
      <c r="I69" s="6">
        <f t="shared" si="33"/>
        <v>56.090997885113261</v>
      </c>
      <c r="J69" s="6">
        <f t="shared" si="33"/>
        <v>42.805442772078649</v>
      </c>
      <c r="K69" s="6">
        <f t="shared" si="33"/>
        <v>35.335114472531515</v>
      </c>
      <c r="L69" s="6">
        <f t="shared" si="33"/>
        <v>26.965739199306118</v>
      </c>
      <c r="M69" s="6">
        <f t="shared" si="33"/>
        <v>16.987351221590551</v>
      </c>
      <c r="N69" s="6">
        <f t="shared" si="33"/>
        <v>10.701360693019661</v>
      </c>
      <c r="O69" s="6">
        <f t="shared" si="31"/>
        <v>8.1666666666666696</v>
      </c>
      <c r="P69" s="6">
        <f t="shared" si="31"/>
        <v>5.1446776204040656</v>
      </c>
      <c r="Q69" s="6">
        <f t="shared" si="31"/>
        <v>3.2409438144350742</v>
      </c>
      <c r="R69" s="6">
        <f t="shared" si="32"/>
        <v>2.0416666666666665</v>
      </c>
    </row>
    <row r="70" spans="1:18" x14ac:dyDescent="0.25">
      <c r="A70" s="33">
        <v>1973</v>
      </c>
      <c r="B70" s="33">
        <v>60.2</v>
      </c>
      <c r="C70" s="11">
        <f t="shared" si="20"/>
        <v>1.7795964912578246</v>
      </c>
      <c r="D70" s="21">
        <f t="shared" si="27"/>
        <v>0</v>
      </c>
      <c r="E70" s="11">
        <f t="shared" si="28"/>
        <v>0.72527472527472525</v>
      </c>
      <c r="F70" s="11">
        <f t="shared" si="29"/>
        <v>0.42140231919664661</v>
      </c>
      <c r="G70" s="17"/>
      <c r="H70" s="6">
        <f t="shared" si="33"/>
        <v>109.39065968849479</v>
      </c>
      <c r="I70" s="6">
        <f t="shared" si="33"/>
        <v>68.911797401710572</v>
      </c>
      <c r="J70" s="6">
        <f t="shared" si="33"/>
        <v>52.589543977125203</v>
      </c>
      <c r="K70" s="6">
        <f t="shared" si="33"/>
        <v>43.411712066252996</v>
      </c>
      <c r="L70" s="6">
        <f t="shared" si="33"/>
        <v>33.129336730576092</v>
      </c>
      <c r="M70" s="6">
        <f t="shared" si="33"/>
        <v>20.870174357954106</v>
      </c>
      <c r="N70" s="6">
        <f t="shared" si="33"/>
        <v>13.147385994281297</v>
      </c>
      <c r="O70" s="6">
        <f t="shared" si="31"/>
        <v>10.033333333333337</v>
      </c>
      <c r="P70" s="6">
        <f t="shared" si="31"/>
        <v>6.3206039336392807</v>
      </c>
      <c r="Q70" s="6">
        <f t="shared" si="31"/>
        <v>3.9817309720202334</v>
      </c>
      <c r="R70" s="6">
        <f t="shared" si="32"/>
        <v>2.5083333333333333</v>
      </c>
    </row>
    <row r="71" spans="1:18" x14ac:dyDescent="0.25">
      <c r="A71" s="33">
        <v>1974</v>
      </c>
      <c r="B71" s="33">
        <v>59.7</v>
      </c>
      <c r="C71" s="11">
        <f t="shared" si="20"/>
        <v>1.7759743311293692</v>
      </c>
      <c r="D71" s="21">
        <f t="shared" si="27"/>
        <v>0</v>
      </c>
      <c r="E71" s="11">
        <f t="shared" si="28"/>
        <v>0.73626373626373631</v>
      </c>
      <c r="F71" s="11">
        <f t="shared" si="29"/>
        <v>0.42375411811332875</v>
      </c>
      <c r="G71" s="17"/>
      <c r="H71" s="6">
        <f t="shared" si="33"/>
        <v>108.48209939207874</v>
      </c>
      <c r="I71" s="6">
        <f t="shared" si="33"/>
        <v>68.339440280433919</v>
      </c>
      <c r="J71" s="6">
        <f t="shared" si="33"/>
        <v>52.152753744757057</v>
      </c>
      <c r="K71" s="6">
        <f t="shared" si="33"/>
        <v>43.05114967367615</v>
      </c>
      <c r="L71" s="6">
        <f t="shared" si="33"/>
        <v>32.854176126501535</v>
      </c>
      <c r="M71" s="6">
        <f t="shared" si="33"/>
        <v>20.69683403936645</v>
      </c>
      <c r="N71" s="6">
        <f t="shared" si="33"/>
        <v>13.038188436189261</v>
      </c>
      <c r="O71" s="6">
        <f t="shared" si="31"/>
        <v>9.9500000000000028</v>
      </c>
      <c r="P71" s="6">
        <f t="shared" si="31"/>
        <v>6.2681072232269948</v>
      </c>
      <c r="Q71" s="6">
        <f t="shared" si="31"/>
        <v>3.9486601167708968</v>
      </c>
      <c r="R71" s="6">
        <f t="shared" si="32"/>
        <v>2.4874999999999998</v>
      </c>
    </row>
    <row r="72" spans="1:18" x14ac:dyDescent="0.25">
      <c r="A72" s="33">
        <v>1975</v>
      </c>
      <c r="B72" s="33">
        <v>78.2</v>
      </c>
      <c r="C72" s="11">
        <f t="shared" si="20"/>
        <v>1.893206753059848</v>
      </c>
      <c r="D72" s="21">
        <f t="shared" si="27"/>
        <v>0</v>
      </c>
      <c r="E72" s="11">
        <f t="shared" si="28"/>
        <v>0.34065934065934067</v>
      </c>
      <c r="F72" s="11">
        <f t="shared" si="29"/>
        <v>0.34225691160055771</v>
      </c>
      <c r="G72" s="17"/>
      <c r="H72" s="6">
        <f t="shared" si="33"/>
        <v>142.09883035947331</v>
      </c>
      <c r="I72" s="6">
        <f t="shared" si="33"/>
        <v>89.516653767670562</v>
      </c>
      <c r="J72" s="6">
        <f t="shared" si="33"/>
        <v>68.313992342378583</v>
      </c>
      <c r="K72" s="6">
        <f t="shared" si="33"/>
        <v>56.391958199019676</v>
      </c>
      <c r="L72" s="6">
        <f t="shared" si="33"/>
        <v>43.035118477259971</v>
      </c>
      <c r="M72" s="6">
        <f t="shared" si="33"/>
        <v>27.110425827109822</v>
      </c>
      <c r="N72" s="6">
        <f t="shared" si="33"/>
        <v>17.078498085594642</v>
      </c>
      <c r="O72" s="6">
        <f t="shared" si="31"/>
        <v>13.033333333333335</v>
      </c>
      <c r="P72" s="6">
        <f t="shared" si="31"/>
        <v>8.2104855084815913</v>
      </c>
      <c r="Q72" s="6">
        <f t="shared" si="31"/>
        <v>5.172281760996384</v>
      </c>
      <c r="R72" s="6">
        <f t="shared" si="32"/>
        <v>3.2583333333333333</v>
      </c>
    </row>
    <row r="73" spans="1:18" x14ac:dyDescent="0.25">
      <c r="A73" s="33">
        <v>1976</v>
      </c>
      <c r="B73" s="33">
        <v>126.5</v>
      </c>
      <c r="C73" s="11">
        <f t="shared" si="20"/>
        <v>2.1020905255118367</v>
      </c>
      <c r="D73" s="21">
        <f t="shared" si="27"/>
        <v>0</v>
      </c>
      <c r="E73" s="11">
        <f t="shared" si="28"/>
        <v>8.7912087912087919E-2</v>
      </c>
      <c r="F73" s="11">
        <f t="shared" si="29"/>
        <v>0.18506869654182234</v>
      </c>
      <c r="G73" s="17"/>
      <c r="H73" s="6">
        <f t="shared" si="33"/>
        <v>229.86575499326565</v>
      </c>
      <c r="I73" s="6">
        <f t="shared" si="33"/>
        <v>144.80635168299648</v>
      </c>
      <c r="J73" s="6">
        <f t="shared" si="33"/>
        <v>110.50792878914183</v>
      </c>
      <c r="K73" s="6">
        <f t="shared" si="33"/>
        <v>91.222285321943588</v>
      </c>
      <c r="L73" s="6">
        <f t="shared" si="33"/>
        <v>69.615632830861713</v>
      </c>
      <c r="M73" s="6">
        <f t="shared" si="33"/>
        <v>43.855100602677652</v>
      </c>
      <c r="N73" s="6">
        <f t="shared" si="33"/>
        <v>27.62698219728545</v>
      </c>
      <c r="O73" s="6">
        <f t="shared" ref="O73:Q84" si="34">($B73*((O$23/60)/24)^(1/3))/O$23*60</f>
        <v>21.083333333333339</v>
      </c>
      <c r="P73" s="6">
        <f t="shared" si="34"/>
        <v>13.281667734308455</v>
      </c>
      <c r="Q73" s="6">
        <f t="shared" si="34"/>
        <v>8.3669263780823862</v>
      </c>
      <c r="R73" s="6">
        <f t="shared" si="32"/>
        <v>5.270833333333333</v>
      </c>
    </row>
    <row r="74" spans="1:18" x14ac:dyDescent="0.25">
      <c r="A74" s="33">
        <v>1977</v>
      </c>
      <c r="B74" s="33">
        <v>79</v>
      </c>
      <c r="C74" s="11">
        <f t="shared" si="20"/>
        <v>1.8976270912904414</v>
      </c>
      <c r="D74" s="21">
        <f t="shared" si="27"/>
        <v>0</v>
      </c>
      <c r="E74" s="11">
        <f t="shared" si="28"/>
        <v>0.32967032967032966</v>
      </c>
      <c r="F74" s="11">
        <f t="shared" si="29"/>
        <v>0.33899839570627333</v>
      </c>
      <c r="G74" s="17"/>
      <c r="H74" s="6">
        <f t="shared" si="33"/>
        <v>143.55252683373902</v>
      </c>
      <c r="I74" s="6">
        <f t="shared" si="33"/>
        <v>90.432425161713226</v>
      </c>
      <c r="J74" s="6">
        <f t="shared" si="33"/>
        <v>69.012856714167626</v>
      </c>
      <c r="K74" s="6">
        <f t="shared" si="33"/>
        <v>56.968858027142645</v>
      </c>
      <c r="L74" s="6">
        <f t="shared" si="33"/>
        <v>43.475375443779249</v>
      </c>
      <c r="M74" s="6">
        <f t="shared" si="33"/>
        <v>27.387770336850075</v>
      </c>
      <c r="N74" s="6">
        <f t="shared" si="33"/>
        <v>17.253214178541903</v>
      </c>
      <c r="O74" s="6">
        <f t="shared" si="34"/>
        <v>13.16666666666667</v>
      </c>
      <c r="P74" s="6">
        <f t="shared" si="34"/>
        <v>8.2944802451412478</v>
      </c>
      <c r="Q74" s="6">
        <f t="shared" si="34"/>
        <v>5.2251951293953232</v>
      </c>
      <c r="R74" s="6">
        <f t="shared" si="32"/>
        <v>3.2916666666666665</v>
      </c>
    </row>
    <row r="75" spans="1:18" x14ac:dyDescent="0.25">
      <c r="A75" s="33">
        <v>1978</v>
      </c>
      <c r="B75" s="33">
        <v>58.2</v>
      </c>
      <c r="C75" s="11">
        <f t="shared" si="20"/>
        <v>1.7649229846498886</v>
      </c>
      <c r="D75" s="21">
        <f t="shared" si="27"/>
        <v>0</v>
      </c>
      <c r="E75" s="11">
        <f t="shared" si="28"/>
        <v>0.75824175824175821</v>
      </c>
      <c r="F75" s="11">
        <f t="shared" si="29"/>
        <v>0.43085637306761693</v>
      </c>
      <c r="G75" s="17"/>
      <c r="H75" s="6">
        <f t="shared" si="33"/>
        <v>105.75641850283051</v>
      </c>
      <c r="I75" s="6">
        <f t="shared" si="33"/>
        <v>66.622368916603904</v>
      </c>
      <c r="J75" s="6">
        <f t="shared" si="33"/>
        <v>50.842383047652604</v>
      </c>
      <c r="K75" s="6">
        <f t="shared" si="33"/>
        <v>41.969462495945592</v>
      </c>
      <c r="L75" s="6">
        <f t="shared" si="33"/>
        <v>32.028694314277878</v>
      </c>
      <c r="M75" s="6">
        <f t="shared" si="33"/>
        <v>20.176813083603474</v>
      </c>
      <c r="N75" s="6">
        <f t="shared" si="33"/>
        <v>12.710595761913147</v>
      </c>
      <c r="O75" s="6">
        <f t="shared" si="34"/>
        <v>9.7000000000000028</v>
      </c>
      <c r="P75" s="6">
        <f t="shared" si="34"/>
        <v>6.1106170919901341</v>
      </c>
      <c r="Q75" s="6">
        <f t="shared" si="34"/>
        <v>3.8494475510228843</v>
      </c>
      <c r="R75" s="6">
        <f t="shared" si="32"/>
        <v>2.4250000000000003</v>
      </c>
    </row>
    <row r="76" spans="1:18" x14ac:dyDescent="0.25">
      <c r="A76" s="33">
        <v>1979</v>
      </c>
      <c r="B76" s="33">
        <v>67.599999999999994</v>
      </c>
      <c r="C76" s="11">
        <f t="shared" si="20"/>
        <v>1.8299466959416359</v>
      </c>
      <c r="D76" s="21">
        <f t="shared" si="27"/>
        <v>0</v>
      </c>
      <c r="E76" s="11">
        <f t="shared" si="28"/>
        <v>0.56043956043956045</v>
      </c>
      <c r="F76" s="11">
        <f t="shared" si="29"/>
        <v>0.38753916929497967</v>
      </c>
      <c r="G76" s="17"/>
      <c r="H76" s="6">
        <f t="shared" si="33"/>
        <v>122.83735207545261</v>
      </c>
      <c r="I76" s="6">
        <f t="shared" si="33"/>
        <v>77.382682796605238</v>
      </c>
      <c r="J76" s="6">
        <f t="shared" si="33"/>
        <v>59.054039416173808</v>
      </c>
      <c r="K76" s="6">
        <f t="shared" si="33"/>
        <v>48.748035476390399</v>
      </c>
      <c r="L76" s="6">
        <f t="shared" si="33"/>
        <v>37.201713670879457</v>
      </c>
      <c r="M76" s="6">
        <f t="shared" si="33"/>
        <v>23.435611073051454</v>
      </c>
      <c r="N76" s="6">
        <f t="shared" si="33"/>
        <v>14.763509854043448</v>
      </c>
      <c r="O76" s="6">
        <f t="shared" si="34"/>
        <v>11.266666666666667</v>
      </c>
      <c r="P76" s="6">
        <f t="shared" si="34"/>
        <v>7.097555247741119</v>
      </c>
      <c r="Q76" s="6">
        <f t="shared" si="34"/>
        <v>4.471179629710428</v>
      </c>
      <c r="R76" s="6">
        <f t="shared" si="32"/>
        <v>2.8166666666666664</v>
      </c>
    </row>
    <row r="77" spans="1:18" x14ac:dyDescent="0.25">
      <c r="A77" s="33">
        <v>1980</v>
      </c>
      <c r="B77" s="33">
        <v>68.099999999999994</v>
      </c>
      <c r="C77" s="11">
        <f t="shared" si="20"/>
        <v>1.8331471119127851</v>
      </c>
      <c r="D77" s="21">
        <f t="shared" si="27"/>
        <v>0</v>
      </c>
      <c r="E77" s="11">
        <f t="shared" si="28"/>
        <v>0.5494505494505495</v>
      </c>
      <c r="F77" s="11">
        <f t="shared" si="29"/>
        <v>0.38531645948416293</v>
      </c>
      <c r="G77" s="17"/>
      <c r="H77" s="6">
        <f t="shared" ref="H77:N85" si="35">($B77*((H$23/60)/24)^(1/3))/H$23*60</f>
        <v>123.74591237186868</v>
      </c>
      <c r="I77" s="6">
        <f t="shared" si="35"/>
        <v>77.955039917881891</v>
      </c>
      <c r="J77" s="6">
        <f t="shared" si="35"/>
        <v>59.490829648541961</v>
      </c>
      <c r="K77" s="6">
        <f t="shared" si="35"/>
        <v>49.108597868967252</v>
      </c>
      <c r="L77" s="6">
        <f t="shared" si="35"/>
        <v>37.476874274954014</v>
      </c>
      <c r="M77" s="6">
        <f t="shared" si="35"/>
        <v>23.608951391639113</v>
      </c>
      <c r="N77" s="6">
        <f t="shared" si="35"/>
        <v>14.872707412135485</v>
      </c>
      <c r="O77" s="6">
        <f t="shared" si="34"/>
        <v>11.350000000000001</v>
      </c>
      <c r="P77" s="6">
        <f t="shared" si="34"/>
        <v>7.150051958153405</v>
      </c>
      <c r="Q77" s="6">
        <f t="shared" si="34"/>
        <v>4.5042504849597655</v>
      </c>
      <c r="R77" s="6">
        <f t="shared" si="32"/>
        <v>2.8374999999999999</v>
      </c>
    </row>
    <row r="78" spans="1:18" x14ac:dyDescent="0.25">
      <c r="A78" s="33">
        <v>1981</v>
      </c>
      <c r="B78" s="33">
        <v>126.7</v>
      </c>
      <c r="C78" s="11">
        <f t="shared" si="20"/>
        <v>2.1027766148834415</v>
      </c>
      <c r="D78" s="21">
        <f t="shared" si="27"/>
        <v>0</v>
      </c>
      <c r="E78" s="11">
        <f t="shared" si="28"/>
        <v>7.6923076923076927E-2</v>
      </c>
      <c r="F78" s="11">
        <f t="shared" si="29"/>
        <v>0.18457452820569464</v>
      </c>
      <c r="G78" s="17"/>
      <c r="H78" s="6">
        <f t="shared" si="35"/>
        <v>230.22917911183208</v>
      </c>
      <c r="I78" s="6">
        <f t="shared" si="35"/>
        <v>145.03529453150713</v>
      </c>
      <c r="J78" s="6">
        <f t="shared" si="35"/>
        <v>110.68264488208909</v>
      </c>
      <c r="K78" s="6">
        <f t="shared" si="35"/>
        <v>91.366510278974332</v>
      </c>
      <c r="L78" s="6">
        <f t="shared" si="35"/>
        <v>69.725697072491542</v>
      </c>
      <c r="M78" s="6">
        <f t="shared" si="35"/>
        <v>43.924436730112717</v>
      </c>
      <c r="N78" s="6">
        <f t="shared" si="35"/>
        <v>27.670661220522266</v>
      </c>
      <c r="O78" s="6">
        <f t="shared" si="34"/>
        <v>21.116666666666671</v>
      </c>
      <c r="P78" s="6">
        <f t="shared" si="34"/>
        <v>13.302666418473368</v>
      </c>
      <c r="Q78" s="6">
        <f t="shared" si="34"/>
        <v>8.3801547201821212</v>
      </c>
      <c r="R78" s="6">
        <f t="shared" si="32"/>
        <v>5.2791666666666668</v>
      </c>
    </row>
    <row r="79" spans="1:18" x14ac:dyDescent="0.25">
      <c r="A79" s="33">
        <v>1982</v>
      </c>
      <c r="B79" s="33">
        <v>53.6</v>
      </c>
      <c r="C79" s="11">
        <f t="shared" si="20"/>
        <v>1.72916478969277</v>
      </c>
      <c r="D79" s="21">
        <f t="shared" si="27"/>
        <v>0</v>
      </c>
      <c r="E79" s="11">
        <f t="shared" si="28"/>
        <v>0.8571428571428571</v>
      </c>
      <c r="F79" s="11">
        <f t="shared" si="29"/>
        <v>0.45306267688796209</v>
      </c>
      <c r="G79" s="17"/>
      <c r="H79" s="6">
        <f t="shared" si="35"/>
        <v>97.39766377580267</v>
      </c>
      <c r="I79" s="6">
        <f t="shared" si="35"/>
        <v>61.356683400858579</v>
      </c>
      <c r="J79" s="6">
        <f t="shared" si="35"/>
        <v>46.823912909865626</v>
      </c>
      <c r="K79" s="6">
        <f t="shared" si="35"/>
        <v>38.652288484238554</v>
      </c>
      <c r="L79" s="6">
        <f t="shared" si="35"/>
        <v>29.497216756792</v>
      </c>
      <c r="M79" s="6">
        <f t="shared" si="35"/>
        <v>18.582082152597014</v>
      </c>
      <c r="N79" s="6">
        <f t="shared" si="35"/>
        <v>11.705978227466405</v>
      </c>
      <c r="O79" s="6">
        <f t="shared" si="34"/>
        <v>8.9333333333333353</v>
      </c>
      <c r="P79" s="6">
        <f t="shared" si="34"/>
        <v>5.6276473561971008</v>
      </c>
      <c r="Q79" s="6">
        <f t="shared" si="34"/>
        <v>3.5451956827289797</v>
      </c>
      <c r="R79" s="6">
        <f t="shared" si="32"/>
        <v>2.2333333333333334</v>
      </c>
    </row>
    <row r="80" spans="1:18" x14ac:dyDescent="0.25">
      <c r="A80" s="33">
        <v>1983</v>
      </c>
      <c r="B80" s="33">
        <v>56.9</v>
      </c>
      <c r="C80" s="11">
        <f t="shared" si="20"/>
        <v>1.7551122663950711</v>
      </c>
      <c r="D80" s="21">
        <f t="shared" si="27"/>
        <v>0</v>
      </c>
      <c r="E80" s="11">
        <f t="shared" si="28"/>
        <v>0.79120879120879117</v>
      </c>
      <c r="F80" s="11">
        <f t="shared" si="29"/>
        <v>0.43706775384186414</v>
      </c>
      <c r="G80" s="17"/>
      <c r="H80" s="6">
        <f t="shared" si="35"/>
        <v>103.39416173214875</v>
      </c>
      <c r="I80" s="6">
        <f t="shared" si="35"/>
        <v>65.134240401284586</v>
      </c>
      <c r="J80" s="6">
        <f t="shared" si="35"/>
        <v>49.706728443495415</v>
      </c>
      <c r="K80" s="6">
        <f t="shared" si="35"/>
        <v>41.032000275245771</v>
      </c>
      <c r="L80" s="6">
        <f t="shared" si="35"/>
        <v>31.313276743684042</v>
      </c>
      <c r="M80" s="6">
        <f t="shared" si="35"/>
        <v>19.726128255275558</v>
      </c>
      <c r="N80" s="6">
        <f t="shared" si="35"/>
        <v>12.42668211087385</v>
      </c>
      <c r="O80" s="6">
        <f t="shared" si="34"/>
        <v>9.4833333333333361</v>
      </c>
      <c r="P80" s="6">
        <f t="shared" si="34"/>
        <v>5.9741256449181908</v>
      </c>
      <c r="Q80" s="6">
        <f t="shared" si="34"/>
        <v>3.7634633273746063</v>
      </c>
      <c r="R80" s="6">
        <f t="shared" si="32"/>
        <v>2.3708333333333336</v>
      </c>
    </row>
    <row r="81" spans="1:18" x14ac:dyDescent="0.25">
      <c r="A81" s="33">
        <v>1984</v>
      </c>
      <c r="B81" s="33">
        <v>75.7</v>
      </c>
      <c r="C81" s="11">
        <f t="shared" si="20"/>
        <v>1.8790958795000727</v>
      </c>
      <c r="D81" s="21">
        <f t="shared" si="27"/>
        <v>0</v>
      </c>
      <c r="E81" s="11">
        <f t="shared" si="28"/>
        <v>0.39560439560439559</v>
      </c>
      <c r="F81" s="11">
        <f t="shared" si="29"/>
        <v>0.35258489146711314</v>
      </c>
      <c r="G81" s="17"/>
      <c r="H81" s="6">
        <f t="shared" si="35"/>
        <v>137.55602887739298</v>
      </c>
      <c r="I81" s="6">
        <f t="shared" si="35"/>
        <v>86.654868161287226</v>
      </c>
      <c r="J81" s="6">
        <f t="shared" si="35"/>
        <v>66.130041180537845</v>
      </c>
      <c r="K81" s="6">
        <f t="shared" si="35"/>
        <v>54.589146236135413</v>
      </c>
      <c r="L81" s="6">
        <f t="shared" si="35"/>
        <v>41.659315456887207</v>
      </c>
      <c r="M81" s="6">
        <f t="shared" si="35"/>
        <v>26.243724234171527</v>
      </c>
      <c r="N81" s="6">
        <f t="shared" si="35"/>
        <v>16.532510295134454</v>
      </c>
      <c r="O81" s="6">
        <f t="shared" si="34"/>
        <v>12.616666666666669</v>
      </c>
      <c r="P81" s="6">
        <f t="shared" si="34"/>
        <v>7.9480019564201578</v>
      </c>
      <c r="Q81" s="6">
        <f t="shared" si="34"/>
        <v>5.0069274847496965</v>
      </c>
      <c r="R81" s="6">
        <f t="shared" si="32"/>
        <v>3.1541666666666668</v>
      </c>
    </row>
    <row r="82" spans="1:18" x14ac:dyDescent="0.25">
      <c r="A82" s="33">
        <v>1985</v>
      </c>
      <c r="B82" s="33">
        <v>79.599999999999994</v>
      </c>
      <c r="C82" s="11">
        <f t="shared" si="20"/>
        <v>1.9009130677376691</v>
      </c>
      <c r="D82" s="21">
        <f t="shared" si="27"/>
        <v>0</v>
      </c>
      <c r="E82" s="11">
        <f t="shared" si="28"/>
        <v>0.31868131868131866</v>
      </c>
      <c r="F82" s="11">
        <f t="shared" si="29"/>
        <v>0.33656932488719404</v>
      </c>
      <c r="G82" s="17"/>
      <c r="H82" s="6">
        <f t="shared" si="35"/>
        <v>144.64279918943831</v>
      </c>
      <c r="I82" s="6">
        <f t="shared" si="35"/>
        <v>91.119253707245221</v>
      </c>
      <c r="J82" s="6">
        <f t="shared" si="35"/>
        <v>69.537004993009404</v>
      </c>
      <c r="K82" s="6">
        <f t="shared" si="35"/>
        <v>57.401532898234855</v>
      </c>
      <c r="L82" s="6">
        <f t="shared" si="35"/>
        <v>43.805568168668714</v>
      </c>
      <c r="M82" s="6">
        <f t="shared" si="35"/>
        <v>27.595778719155263</v>
      </c>
      <c r="N82" s="6">
        <f t="shared" si="35"/>
        <v>17.384251248252344</v>
      </c>
      <c r="O82" s="6">
        <f t="shared" si="34"/>
        <v>13.266666666666669</v>
      </c>
      <c r="P82" s="6">
        <f t="shared" si="34"/>
        <v>8.3574762976359924</v>
      </c>
      <c r="Q82" s="6">
        <f t="shared" si="34"/>
        <v>5.2648801556945282</v>
      </c>
      <c r="R82" s="6">
        <f t="shared" si="32"/>
        <v>3.3166666666666664</v>
      </c>
    </row>
    <row r="83" spans="1:18" x14ac:dyDescent="0.25">
      <c r="A83" s="33">
        <v>1986</v>
      </c>
      <c r="B83" s="33">
        <v>81.8</v>
      </c>
      <c r="C83" s="11">
        <f t="shared" si="20"/>
        <v>1.9127533036713229</v>
      </c>
      <c r="D83" s="21">
        <f t="shared" si="27"/>
        <v>0</v>
      </c>
      <c r="E83" s="11">
        <f t="shared" si="28"/>
        <v>0.27472527472527475</v>
      </c>
      <c r="F83" s="11">
        <f t="shared" si="29"/>
        <v>0.32777158684909757</v>
      </c>
      <c r="G83" s="17"/>
      <c r="H83" s="6">
        <f t="shared" si="35"/>
        <v>148.64046449366901</v>
      </c>
      <c r="I83" s="6">
        <f t="shared" si="35"/>
        <v>93.637625040862545</v>
      </c>
      <c r="J83" s="6">
        <f t="shared" si="35"/>
        <v>71.458882015429253</v>
      </c>
      <c r="K83" s="6">
        <f t="shared" si="35"/>
        <v>58.988007425573009</v>
      </c>
      <c r="L83" s="6">
        <f t="shared" si="35"/>
        <v>45.016274826596742</v>
      </c>
      <c r="M83" s="6">
        <f t="shared" si="35"/>
        <v>28.35847612094096</v>
      </c>
      <c r="N83" s="6">
        <f t="shared" si="35"/>
        <v>17.86472050385731</v>
      </c>
      <c r="O83" s="6">
        <f t="shared" si="34"/>
        <v>13.633333333333335</v>
      </c>
      <c r="P83" s="6">
        <f t="shared" si="34"/>
        <v>8.5884618234500518</v>
      </c>
      <c r="Q83" s="6">
        <f t="shared" si="34"/>
        <v>5.4103919187916132</v>
      </c>
      <c r="R83" s="6">
        <f t="shared" si="32"/>
        <v>3.4083333333333332</v>
      </c>
    </row>
    <row r="84" spans="1:18" x14ac:dyDescent="0.25">
      <c r="A84" s="33">
        <v>1987</v>
      </c>
      <c r="B84" s="33">
        <v>62.4</v>
      </c>
      <c r="C84" s="11">
        <f t="shared" si="20"/>
        <v>1.7951845896824239</v>
      </c>
      <c r="D84" s="21">
        <f t="shared" si="27"/>
        <v>0</v>
      </c>
      <c r="E84" s="11">
        <f t="shared" si="28"/>
        <v>0.68131868131868134</v>
      </c>
      <c r="F84" s="11">
        <f t="shared" si="29"/>
        <v>0.4111486586362052</v>
      </c>
      <c r="G84" s="17"/>
      <c r="H84" s="6">
        <f t="shared" si="35"/>
        <v>113.38832499272552</v>
      </c>
      <c r="I84" s="6">
        <f t="shared" si="35"/>
        <v>71.430168735327896</v>
      </c>
      <c r="J84" s="6">
        <f t="shared" si="35"/>
        <v>54.511420999545059</v>
      </c>
      <c r="K84" s="6">
        <f t="shared" si="35"/>
        <v>44.998186593591143</v>
      </c>
      <c r="L84" s="6">
        <f t="shared" si="35"/>
        <v>34.340043388504114</v>
      </c>
      <c r="M84" s="6">
        <f t="shared" si="35"/>
        <v>21.632871759739803</v>
      </c>
      <c r="N84" s="6">
        <f t="shared" si="35"/>
        <v>13.627855249886261</v>
      </c>
      <c r="O84" s="6">
        <f t="shared" si="34"/>
        <v>10.400000000000002</v>
      </c>
      <c r="P84" s="6">
        <f t="shared" si="34"/>
        <v>6.5515894594533401</v>
      </c>
      <c r="Q84" s="6">
        <f t="shared" si="34"/>
        <v>4.1272427351173189</v>
      </c>
      <c r="R84" s="6">
        <f t="shared" si="32"/>
        <v>2.6</v>
      </c>
    </row>
    <row r="85" spans="1:18" x14ac:dyDescent="0.25">
      <c r="A85" s="33">
        <v>1988</v>
      </c>
      <c r="B85" s="33">
        <v>114.5</v>
      </c>
      <c r="C85" s="11">
        <f t="shared" si="20"/>
        <v>2.0588054866759067</v>
      </c>
      <c r="D85" s="21">
        <f t="shared" si="27"/>
        <v>0</v>
      </c>
      <c r="E85" s="11">
        <f t="shared" si="28"/>
        <v>9.8901098901098897E-2</v>
      </c>
      <c r="F85" s="11">
        <f t="shared" si="29"/>
        <v>0.21692046526787045</v>
      </c>
      <c r="G85" s="17"/>
      <c r="H85" s="6">
        <f t="shared" si="35"/>
        <v>208.06030787927997</v>
      </c>
      <c r="I85" s="6">
        <f t="shared" si="35"/>
        <v>131.06978077235652</v>
      </c>
      <c r="J85" s="6">
        <f t="shared" si="35"/>
        <v>100.02496321230623</v>
      </c>
      <c r="K85" s="6">
        <f t="shared" si="35"/>
        <v>82.568787900099124</v>
      </c>
      <c r="L85" s="6">
        <f t="shared" si="35"/>
        <v>63.011778333072471</v>
      </c>
      <c r="M85" s="6">
        <f t="shared" si="35"/>
        <v>39.694932956573844</v>
      </c>
      <c r="N85" s="6">
        <f t="shared" si="35"/>
        <v>25.006240803076555</v>
      </c>
      <c r="O85" s="6">
        <f t="shared" ref="O85:Q105" si="36">($B85*((O$23/60)/24)^(1/3))/O$23*60</f>
        <v>19.083333333333339</v>
      </c>
      <c r="P85" s="6">
        <f t="shared" si="36"/>
        <v>12.021746684413582</v>
      </c>
      <c r="Q85" s="6">
        <f t="shared" si="36"/>
        <v>7.5732258520982851</v>
      </c>
      <c r="R85" s="6">
        <f t="shared" si="32"/>
        <v>4.770833333333333</v>
      </c>
    </row>
    <row r="86" spans="1:18" x14ac:dyDescent="0.25">
      <c r="A86" s="33">
        <v>1989</v>
      </c>
      <c r="B86" s="33">
        <v>54.5</v>
      </c>
      <c r="C86" s="11">
        <f t="shared" si="20"/>
        <v>1.7363965022766426</v>
      </c>
      <c r="D86" s="21">
        <f t="shared" si="27"/>
        <v>0</v>
      </c>
      <c r="E86" s="11">
        <f t="shared" si="28"/>
        <v>0.8351648351648352</v>
      </c>
      <c r="F86" s="11">
        <f t="shared" si="29"/>
        <v>0.44866862539352015</v>
      </c>
      <c r="G86" s="17"/>
      <c r="H86" s="6">
        <f t="shared" ref="H86:H113" si="37">($B86*((H$23/60)/24)^(1/3))/H$23*60</f>
        <v>99.033072309351596</v>
      </c>
      <c r="I86" s="6">
        <f t="shared" ref="I86:N100" si="38">($B86*((I$23/60)/24)^(1/3))/I$23*60</f>
        <v>62.386926219156592</v>
      </c>
      <c r="J86" s="6">
        <f t="shared" si="38"/>
        <v>47.610135328128294</v>
      </c>
      <c r="K86" s="6">
        <f t="shared" si="38"/>
        <v>39.30130079087688</v>
      </c>
      <c r="L86" s="6">
        <f t="shared" si="38"/>
        <v>29.992505844126192</v>
      </c>
      <c r="M86" s="6">
        <f t="shared" si="38"/>
        <v>18.894094726054796</v>
      </c>
      <c r="N86" s="6">
        <f t="shared" si="38"/>
        <v>11.902533832032072</v>
      </c>
      <c r="O86" s="6">
        <f t="shared" si="36"/>
        <v>9.0833333333333357</v>
      </c>
      <c r="P86" s="6">
        <f t="shared" si="36"/>
        <v>5.7221414349392159</v>
      </c>
      <c r="Q86" s="6">
        <f t="shared" si="36"/>
        <v>3.6047232221777863</v>
      </c>
      <c r="R86" s="6">
        <f t="shared" si="32"/>
        <v>2.270833333333333</v>
      </c>
    </row>
    <row r="87" spans="1:18" x14ac:dyDescent="0.25">
      <c r="A87" s="33">
        <v>1990</v>
      </c>
      <c r="B87" s="33">
        <v>69.2</v>
      </c>
      <c r="C87" s="11">
        <f t="shared" si="20"/>
        <v>1.8401060944567578</v>
      </c>
      <c r="D87" s="21">
        <f t="shared" si="27"/>
        <v>0</v>
      </c>
      <c r="E87" s="11">
        <f t="shared" si="28"/>
        <v>0.52747252747252749</v>
      </c>
      <c r="F87" s="11">
        <f t="shared" si="29"/>
        <v>0.38045626602496152</v>
      </c>
      <c r="G87" s="17"/>
      <c r="H87" s="6">
        <f t="shared" si="37"/>
        <v>125.74474502398405</v>
      </c>
      <c r="I87" s="6">
        <f t="shared" si="38"/>
        <v>79.214225584690567</v>
      </c>
      <c r="J87" s="6">
        <f t="shared" si="38"/>
        <v>60.4517681597519</v>
      </c>
      <c r="K87" s="6">
        <f t="shared" si="38"/>
        <v>49.901835132636336</v>
      </c>
      <c r="L87" s="6">
        <f t="shared" si="38"/>
        <v>38.082227603918028</v>
      </c>
      <c r="M87" s="6">
        <f t="shared" si="38"/>
        <v>23.990300092531964</v>
      </c>
      <c r="N87" s="6">
        <f t="shared" si="38"/>
        <v>15.112942039937971</v>
      </c>
      <c r="O87" s="6">
        <f t="shared" si="36"/>
        <v>11.533333333333337</v>
      </c>
      <c r="P87" s="6">
        <f t="shared" si="36"/>
        <v>7.2655447210604356</v>
      </c>
      <c r="Q87" s="6">
        <f t="shared" si="36"/>
        <v>4.5770063665083089</v>
      </c>
      <c r="R87" s="6">
        <f t="shared" si="32"/>
        <v>2.8833333333333337</v>
      </c>
    </row>
    <row r="88" spans="1:18" x14ac:dyDescent="0.25">
      <c r="A88" s="33">
        <v>1991</v>
      </c>
      <c r="B88" s="33">
        <v>69.3</v>
      </c>
      <c r="C88" s="11">
        <f t="shared" ref="C88:C113" si="39">LOG(B88)</f>
        <v>1.8407332346118068</v>
      </c>
      <c r="D88" s="21">
        <f t="shared" ref="D88:D113" si="40">IF(OR(C88&gt;$R$10,C88&lt;$R$11,B88&gt;150),"YES",0)</f>
        <v>0</v>
      </c>
      <c r="E88" s="11">
        <f t="shared" ref="E88:E94" si="41">RANK(B88,B$24:B$113)/($B$18+1)</f>
        <v>0.50549450549450547</v>
      </c>
      <c r="F88" s="11">
        <f t="shared" ref="F88:F113" si="42">1-EXP(-EXP(-(B88-$R$5)/$R$4))</f>
        <v>0.38001646706388204</v>
      </c>
      <c r="G88" s="17"/>
      <c r="H88" s="6">
        <f t="shared" si="37"/>
        <v>125.92645708326727</v>
      </c>
      <c r="I88" s="6">
        <f t="shared" si="38"/>
        <v>79.328697008945895</v>
      </c>
      <c r="J88" s="6">
        <f t="shared" si="38"/>
        <v>60.539126206225525</v>
      </c>
      <c r="K88" s="6">
        <f t="shared" si="38"/>
        <v>49.973947611151708</v>
      </c>
      <c r="L88" s="6">
        <f t="shared" si="38"/>
        <v>38.137259724732935</v>
      </c>
      <c r="M88" s="6">
        <f t="shared" si="38"/>
        <v>24.024968156249493</v>
      </c>
      <c r="N88" s="6">
        <f t="shared" si="38"/>
        <v>15.134781551556374</v>
      </c>
      <c r="O88" s="6">
        <f t="shared" si="36"/>
        <v>11.550000000000002</v>
      </c>
      <c r="P88" s="6">
        <f t="shared" si="36"/>
        <v>7.2760440631428915</v>
      </c>
      <c r="Q88" s="6">
        <f t="shared" si="36"/>
        <v>4.5836205375581764</v>
      </c>
      <c r="R88" s="6">
        <f t="shared" si="32"/>
        <v>2.8875000000000002</v>
      </c>
    </row>
    <row r="89" spans="1:18" x14ac:dyDescent="0.25">
      <c r="A89" s="33">
        <v>1992</v>
      </c>
      <c r="B89" s="33">
        <v>100.3</v>
      </c>
      <c r="C89" s="11">
        <f t="shared" si="39"/>
        <v>2.0013009330204179</v>
      </c>
      <c r="D89" s="21">
        <f t="shared" si="40"/>
        <v>0</v>
      </c>
      <c r="E89" s="11">
        <f t="shared" si="41"/>
        <v>0.14285714285714285</v>
      </c>
      <c r="F89" s="11">
        <f t="shared" si="42"/>
        <v>0.26055012751023976</v>
      </c>
      <c r="G89" s="17"/>
      <c r="H89" s="6">
        <f t="shared" si="37"/>
        <v>182.25719546106359</v>
      </c>
      <c r="I89" s="6">
        <f t="shared" si="38"/>
        <v>114.81483852809917</v>
      </c>
      <c r="J89" s="6">
        <f t="shared" si="38"/>
        <v>87.620120613050787</v>
      </c>
      <c r="K89" s="6">
        <f t="shared" si="38"/>
        <v>72.328815950916535</v>
      </c>
      <c r="L89" s="6">
        <f t="shared" si="38"/>
        <v>55.197217177355178</v>
      </c>
      <c r="M89" s="6">
        <f t="shared" si="38"/>
        <v>34.772067908684335</v>
      </c>
      <c r="N89" s="6">
        <f t="shared" si="38"/>
        <v>21.905030153262693</v>
      </c>
      <c r="O89" s="6">
        <f t="shared" si="36"/>
        <v>16.716666666666672</v>
      </c>
      <c r="P89" s="6">
        <f t="shared" si="36"/>
        <v>10.530840108704648</v>
      </c>
      <c r="Q89" s="6">
        <f t="shared" si="36"/>
        <v>6.6340135630171</v>
      </c>
      <c r="R89" s="6">
        <f t="shared" ref="R89:R113" si="43">($B89*((R$23/60)/24)^(1/3))/R$23*60</f>
        <v>4.1791666666666663</v>
      </c>
    </row>
    <row r="90" spans="1:18" x14ac:dyDescent="0.25">
      <c r="A90" s="33">
        <v>1993</v>
      </c>
      <c r="B90" s="33">
        <v>87.8</v>
      </c>
      <c r="C90" s="11">
        <f t="shared" si="39"/>
        <v>1.9434945159061026</v>
      </c>
      <c r="D90" s="21">
        <f t="shared" si="40"/>
        <v>0</v>
      </c>
      <c r="E90" s="11">
        <f t="shared" si="41"/>
        <v>0.23076923076923078</v>
      </c>
      <c r="F90" s="11">
        <f t="shared" si="42"/>
        <v>0.30464912157458368</v>
      </c>
      <c r="G90" s="17"/>
      <c r="H90" s="6">
        <f t="shared" si="37"/>
        <v>159.54318805066185</v>
      </c>
      <c r="I90" s="6">
        <f t="shared" si="38"/>
        <v>100.50591049618252</v>
      </c>
      <c r="J90" s="6">
        <f t="shared" si="38"/>
        <v>76.700364803847052</v>
      </c>
      <c r="K90" s="6">
        <f t="shared" si="38"/>
        <v>63.314756136495227</v>
      </c>
      <c r="L90" s="6">
        <f t="shared" si="38"/>
        <v>48.318202075491371</v>
      </c>
      <c r="M90" s="6">
        <f t="shared" si="38"/>
        <v>30.438559943992864</v>
      </c>
      <c r="N90" s="6">
        <f t="shared" si="38"/>
        <v>19.175091200961759</v>
      </c>
      <c r="O90" s="6">
        <f t="shared" si="36"/>
        <v>14.633333333333336</v>
      </c>
      <c r="P90" s="6">
        <f t="shared" si="36"/>
        <v>9.218422348397489</v>
      </c>
      <c r="Q90" s="6">
        <f t="shared" si="36"/>
        <v>5.8072421817836632</v>
      </c>
      <c r="R90" s="6">
        <f t="shared" si="43"/>
        <v>3.6583333333333332</v>
      </c>
    </row>
    <row r="91" spans="1:18" x14ac:dyDescent="0.25">
      <c r="A91" s="33">
        <v>1994</v>
      </c>
      <c r="B91" s="33">
        <v>142.4</v>
      </c>
      <c r="C91" s="11">
        <f t="shared" si="39"/>
        <v>2.1535099893008374</v>
      </c>
      <c r="D91" s="21">
        <f t="shared" si="40"/>
        <v>0</v>
      </c>
      <c r="E91" s="11">
        <f t="shared" si="41"/>
        <v>3.2967032967032968E-2</v>
      </c>
      <c r="F91" s="11">
        <f t="shared" si="42"/>
        <v>0.14926579641056292</v>
      </c>
      <c r="G91" s="17"/>
      <c r="H91" s="6">
        <f t="shared" si="37"/>
        <v>258.75797241929666</v>
      </c>
      <c r="I91" s="6">
        <f t="shared" si="38"/>
        <v>163.00730813959444</v>
      </c>
      <c r="J91" s="6">
        <f t="shared" si="38"/>
        <v>124.39785817844897</v>
      </c>
      <c r="K91" s="6">
        <f t="shared" si="38"/>
        <v>102.68816940588749</v>
      </c>
      <c r="L91" s="6">
        <f t="shared" si="38"/>
        <v>78.365740040432485</v>
      </c>
      <c r="M91" s="6">
        <f t="shared" si="38"/>
        <v>49.367322733765199</v>
      </c>
      <c r="N91" s="6">
        <f t="shared" si="38"/>
        <v>31.099464544612236</v>
      </c>
      <c r="O91" s="6">
        <f t="shared" si="36"/>
        <v>23.733333333333341</v>
      </c>
      <c r="P91" s="6">
        <f t="shared" si="36"/>
        <v>14.951063125419164</v>
      </c>
      <c r="Q91" s="6">
        <f t="shared" si="36"/>
        <v>9.4185795750113179</v>
      </c>
      <c r="R91" s="6">
        <f t="shared" si="43"/>
        <v>5.9333333333333336</v>
      </c>
    </row>
    <row r="92" spans="1:18" x14ac:dyDescent="0.25">
      <c r="A92" s="33">
        <v>1995</v>
      </c>
      <c r="B92" s="33">
        <v>55.5</v>
      </c>
      <c r="C92" s="11">
        <f t="shared" si="39"/>
        <v>1.7442929831226763</v>
      </c>
      <c r="D92" s="21">
        <f t="shared" si="40"/>
        <v>0</v>
      </c>
      <c r="E92" s="11">
        <f t="shared" si="41"/>
        <v>0.81318681318681318</v>
      </c>
      <c r="F92" s="11">
        <f t="shared" si="42"/>
        <v>0.44381411839126439</v>
      </c>
      <c r="G92" s="17"/>
      <c r="H92" s="6">
        <f t="shared" si="37"/>
        <v>100.85019290218374</v>
      </c>
      <c r="I92" s="6">
        <f t="shared" si="38"/>
        <v>63.531640461709912</v>
      </c>
      <c r="J92" s="6">
        <f t="shared" si="38"/>
        <v>48.483715792864594</v>
      </c>
      <c r="K92" s="6">
        <f t="shared" si="38"/>
        <v>40.022425576030592</v>
      </c>
      <c r="L92" s="6">
        <f t="shared" si="38"/>
        <v>30.5428270522753</v>
      </c>
      <c r="M92" s="6">
        <f t="shared" si="38"/>
        <v>19.240775363230114</v>
      </c>
      <c r="N92" s="6">
        <f t="shared" si="38"/>
        <v>12.120928948216147</v>
      </c>
      <c r="O92" s="6">
        <f t="shared" si="36"/>
        <v>9.2500000000000018</v>
      </c>
      <c r="P92" s="6">
        <f t="shared" si="36"/>
        <v>5.8271348557637888</v>
      </c>
      <c r="Q92" s="6">
        <f t="shared" si="36"/>
        <v>3.6708649326764613</v>
      </c>
      <c r="R92" s="6">
        <f t="shared" si="43"/>
        <v>2.3125</v>
      </c>
    </row>
    <row r="93" spans="1:18" x14ac:dyDescent="0.25">
      <c r="A93" s="33">
        <v>1996</v>
      </c>
      <c r="B93" s="33">
        <v>81</v>
      </c>
      <c r="C93" s="11">
        <f t="shared" si="39"/>
        <v>1.9084850188786497</v>
      </c>
      <c r="D93" s="21">
        <f t="shared" si="40"/>
        <v>0</v>
      </c>
      <c r="E93" s="11">
        <f t="shared" si="41"/>
        <v>0.2967032967032967</v>
      </c>
      <c r="F93" s="11">
        <f t="shared" si="42"/>
        <v>0.33095095512510375</v>
      </c>
      <c r="G93" s="17"/>
      <c r="H93" s="6">
        <f t="shared" si="37"/>
        <v>147.1867680194033</v>
      </c>
      <c r="I93" s="6">
        <f t="shared" si="38"/>
        <v>92.721853646819866</v>
      </c>
      <c r="J93" s="6">
        <f t="shared" si="38"/>
        <v>70.760017643640225</v>
      </c>
      <c r="K93" s="6">
        <f t="shared" si="38"/>
        <v>58.411107597450041</v>
      </c>
      <c r="L93" s="6">
        <f t="shared" si="38"/>
        <v>44.576017860077464</v>
      </c>
      <c r="M93" s="6">
        <f t="shared" si="38"/>
        <v>28.081131611200707</v>
      </c>
      <c r="N93" s="6">
        <f t="shared" si="38"/>
        <v>17.690004410910049</v>
      </c>
      <c r="O93" s="6">
        <f t="shared" si="36"/>
        <v>13.500000000000002</v>
      </c>
      <c r="P93" s="6">
        <f t="shared" si="36"/>
        <v>8.5044670867903953</v>
      </c>
      <c r="Q93" s="6">
        <f t="shared" si="36"/>
        <v>5.3574785503926741</v>
      </c>
      <c r="R93" s="6">
        <f t="shared" si="43"/>
        <v>3.375</v>
      </c>
    </row>
    <row r="94" spans="1:18" x14ac:dyDescent="0.25">
      <c r="A94" s="33">
        <v>1997</v>
      </c>
      <c r="B94" s="33">
        <v>65.099999999999994</v>
      </c>
      <c r="C94" s="11">
        <f t="shared" si="39"/>
        <v>1.8135809885681919</v>
      </c>
      <c r="D94" s="21">
        <f t="shared" si="40"/>
        <v>0</v>
      </c>
      <c r="E94" s="11">
        <f t="shared" si="41"/>
        <v>0.62637362637362637</v>
      </c>
      <c r="F94" s="11">
        <f t="shared" si="42"/>
        <v>0.3987784052428972</v>
      </c>
      <c r="G94" s="17"/>
      <c r="H94" s="6">
        <f t="shared" si="37"/>
        <v>118.29455059337226</v>
      </c>
      <c r="I94" s="6">
        <f t="shared" si="38"/>
        <v>74.520897190221902</v>
      </c>
      <c r="J94" s="6">
        <f t="shared" si="38"/>
        <v>56.870088254333062</v>
      </c>
      <c r="K94" s="6">
        <f t="shared" si="38"/>
        <v>46.945223513506143</v>
      </c>
      <c r="L94" s="6">
        <f t="shared" si="38"/>
        <v>35.8259106505067</v>
      </c>
      <c r="M94" s="6">
        <f t="shared" si="38"/>
        <v>22.56890948011316</v>
      </c>
      <c r="N94" s="6">
        <f t="shared" si="38"/>
        <v>14.217522063583262</v>
      </c>
      <c r="O94" s="6">
        <f t="shared" si="36"/>
        <v>10.850000000000001</v>
      </c>
      <c r="P94" s="6">
        <f t="shared" si="36"/>
        <v>6.8350716956796864</v>
      </c>
      <c r="Q94" s="6">
        <f t="shared" si="36"/>
        <v>4.3058253534637405</v>
      </c>
      <c r="R94" s="6">
        <f t="shared" si="43"/>
        <v>2.7124999999999999</v>
      </c>
    </row>
    <row r="95" spans="1:18" x14ac:dyDescent="0.25">
      <c r="A95" s="33">
        <v>1998</v>
      </c>
      <c r="B95" s="33">
        <v>142</v>
      </c>
      <c r="C95" s="11">
        <f t="shared" ref="C95:C99" si="44">LOG(B95)</f>
        <v>2.1522883443830563</v>
      </c>
      <c r="D95" s="21">
        <f t="shared" ref="D95:D99" si="45">IF(OR(C95&gt;$R$10,C95&lt;$R$11,B95&gt;150),"YES",0)</f>
        <v>0</v>
      </c>
      <c r="E95" s="11">
        <f t="shared" ref="E95:E99" si="46">RANK(B95,B$24:B$113)/($B$18+1)</f>
        <v>4.3956043956043959E-2</v>
      </c>
      <c r="F95" s="11">
        <f t="shared" ref="F95:F99" si="47">1-EXP(-EXP(-(B95-$R$5)/$R$4))</f>
        <v>0.15008378270698619</v>
      </c>
      <c r="G95" s="17"/>
      <c r="H95" s="6">
        <f t="shared" si="37"/>
        <v>258.03112418216381</v>
      </c>
      <c r="I95" s="6">
        <f t="shared" si="38"/>
        <v>162.54942244257313</v>
      </c>
      <c r="J95" s="6">
        <f t="shared" si="38"/>
        <v>124.04842599255447</v>
      </c>
      <c r="K95" s="6">
        <f t="shared" si="38"/>
        <v>102.399719491826</v>
      </c>
      <c r="L95" s="6">
        <f t="shared" si="38"/>
        <v>78.145611557172828</v>
      </c>
      <c r="M95" s="6">
        <f t="shared" si="38"/>
        <v>49.228650478895069</v>
      </c>
      <c r="N95" s="6">
        <f t="shared" si="38"/>
        <v>31.012106498138611</v>
      </c>
      <c r="O95" s="6">
        <f t="shared" si="36"/>
        <v>23.666666666666671</v>
      </c>
      <c r="P95" s="6">
        <f t="shared" si="36"/>
        <v>14.909065757089332</v>
      </c>
      <c r="Q95" s="6">
        <f t="shared" si="36"/>
        <v>9.3921228908118479</v>
      </c>
      <c r="R95" s="6">
        <f t="shared" si="43"/>
        <v>5.9166666666666661</v>
      </c>
    </row>
    <row r="96" spans="1:18" x14ac:dyDescent="0.25">
      <c r="A96" s="33">
        <v>1999</v>
      </c>
      <c r="B96" s="33">
        <v>102.7</v>
      </c>
      <c r="C96" s="11">
        <f t="shared" si="44"/>
        <v>2.0115704435972783</v>
      </c>
      <c r="D96" s="21">
        <f t="shared" si="45"/>
        <v>0</v>
      </c>
      <c r="E96" s="11">
        <f t="shared" si="46"/>
        <v>0.13186813186813187</v>
      </c>
      <c r="F96" s="11">
        <f t="shared" si="47"/>
        <v>0.25270286895728311</v>
      </c>
      <c r="G96" s="17"/>
      <c r="H96" s="6">
        <f t="shared" si="37"/>
        <v>186.61828488386075</v>
      </c>
      <c r="I96" s="6">
        <f t="shared" si="38"/>
        <v>117.56215271022718</v>
      </c>
      <c r="J96" s="6">
        <f t="shared" si="38"/>
        <v>89.716713728417915</v>
      </c>
      <c r="K96" s="6">
        <f t="shared" si="38"/>
        <v>74.059515435285434</v>
      </c>
      <c r="L96" s="6">
        <f t="shared" si="38"/>
        <v>56.517988076913028</v>
      </c>
      <c r="M96" s="6">
        <f t="shared" si="38"/>
        <v>35.604101437905094</v>
      </c>
      <c r="N96" s="6">
        <f t="shared" si="38"/>
        <v>22.429178432104472</v>
      </c>
      <c r="O96" s="6">
        <f t="shared" si="36"/>
        <v>17.116666666666671</v>
      </c>
      <c r="P96" s="6">
        <f t="shared" si="36"/>
        <v>10.782824318683623</v>
      </c>
      <c r="Q96" s="6">
        <f t="shared" si="36"/>
        <v>6.7927536682139218</v>
      </c>
      <c r="R96" s="6">
        <f t="shared" si="43"/>
        <v>4.2791666666666668</v>
      </c>
    </row>
    <row r="97" spans="1:18" x14ac:dyDescent="0.25">
      <c r="A97" s="33">
        <v>2000</v>
      </c>
      <c r="B97" s="33">
        <v>141</v>
      </c>
      <c r="C97" s="11">
        <f t="shared" si="44"/>
        <v>2.1492191126553797</v>
      </c>
      <c r="D97" s="21">
        <f t="shared" si="45"/>
        <v>0</v>
      </c>
      <c r="E97" s="11">
        <f t="shared" si="46"/>
        <v>5.4945054945054944E-2</v>
      </c>
      <c r="F97" s="11">
        <f t="shared" si="47"/>
        <v>0.1521466065861713</v>
      </c>
      <c r="G97" s="17"/>
      <c r="H97" s="6">
        <f t="shared" si="37"/>
        <v>256.2140035893317</v>
      </c>
      <c r="I97" s="6">
        <f t="shared" si="38"/>
        <v>161.4047082000198</v>
      </c>
      <c r="J97" s="6">
        <f t="shared" si="38"/>
        <v>123.17484552781818</v>
      </c>
      <c r="K97" s="6">
        <f t="shared" si="38"/>
        <v>101.67859470667229</v>
      </c>
      <c r="L97" s="6">
        <f t="shared" si="38"/>
        <v>77.595290349023728</v>
      </c>
      <c r="M97" s="6">
        <f t="shared" si="38"/>
        <v>48.881969841719751</v>
      </c>
      <c r="N97" s="6">
        <f t="shared" si="38"/>
        <v>30.793711381954537</v>
      </c>
      <c r="O97" s="6">
        <f t="shared" si="36"/>
        <v>23.500000000000004</v>
      </c>
      <c r="P97" s="6">
        <f t="shared" si="36"/>
        <v>14.80407233626476</v>
      </c>
      <c r="Q97" s="6">
        <f t="shared" si="36"/>
        <v>9.3259811803131729</v>
      </c>
      <c r="R97" s="6">
        <f t="shared" si="43"/>
        <v>5.875</v>
      </c>
    </row>
    <row r="98" spans="1:18" x14ac:dyDescent="0.25">
      <c r="A98" s="33">
        <v>2001</v>
      </c>
      <c r="B98" s="33">
        <v>53.5</v>
      </c>
      <c r="C98" s="11">
        <f t="shared" si="44"/>
        <v>1.7283537820212285</v>
      </c>
      <c r="D98" s="21">
        <f t="shared" si="45"/>
        <v>0</v>
      </c>
      <c r="E98" s="11">
        <f t="shared" si="46"/>
        <v>0.86813186813186816</v>
      </c>
      <c r="F98" s="11">
        <f t="shared" si="47"/>
        <v>0.45355235097219893</v>
      </c>
      <c r="G98" s="17"/>
      <c r="H98" s="6">
        <f t="shared" si="37"/>
        <v>97.215951716519456</v>
      </c>
      <c r="I98" s="6">
        <f t="shared" si="38"/>
        <v>61.242211976603251</v>
      </c>
      <c r="J98" s="6">
        <f t="shared" si="38"/>
        <v>46.736554863391994</v>
      </c>
      <c r="K98" s="6">
        <f t="shared" si="38"/>
        <v>38.580176005723175</v>
      </c>
      <c r="L98" s="6">
        <f t="shared" si="38"/>
        <v>29.442184635977089</v>
      </c>
      <c r="M98" s="6">
        <f t="shared" si="38"/>
        <v>18.547414088879481</v>
      </c>
      <c r="N98" s="6">
        <f t="shared" si="38"/>
        <v>11.684138715847997</v>
      </c>
      <c r="O98" s="6">
        <f t="shared" si="36"/>
        <v>8.9166666666666679</v>
      </c>
      <c r="P98" s="6">
        <f t="shared" si="36"/>
        <v>5.6171480141146422</v>
      </c>
      <c r="Q98" s="6">
        <f t="shared" si="36"/>
        <v>3.5385815116791113</v>
      </c>
      <c r="R98" s="6">
        <f t="shared" si="43"/>
        <v>2.2291666666666665</v>
      </c>
    </row>
    <row r="99" spans="1:18" x14ac:dyDescent="0.25">
      <c r="A99" s="33">
        <v>2002</v>
      </c>
      <c r="B99" s="33">
        <v>66.599999999999994</v>
      </c>
      <c r="C99" s="11">
        <f t="shared" si="44"/>
        <v>1.823474229170301</v>
      </c>
      <c r="D99" s="21">
        <f t="shared" si="45"/>
        <v>0</v>
      </c>
      <c r="E99" s="11">
        <f t="shared" si="46"/>
        <v>0.58241758241758246</v>
      </c>
      <c r="F99" s="11">
        <f t="shared" si="47"/>
        <v>0.39200981555111225</v>
      </c>
      <c r="G99" s="17"/>
      <c r="H99" s="6">
        <f t="shared" si="37"/>
        <v>121.02023148262047</v>
      </c>
      <c r="I99" s="6">
        <f t="shared" si="38"/>
        <v>76.237968554051903</v>
      </c>
      <c r="J99" s="6">
        <f t="shared" si="38"/>
        <v>58.180458951437508</v>
      </c>
      <c r="K99" s="6">
        <f t="shared" si="38"/>
        <v>48.026910691236701</v>
      </c>
      <c r="L99" s="6">
        <f t="shared" si="38"/>
        <v>36.651392462730357</v>
      </c>
      <c r="M99" s="6">
        <f t="shared" si="38"/>
        <v>23.088930435876136</v>
      </c>
      <c r="N99" s="6">
        <f t="shared" si="38"/>
        <v>14.545114737859373</v>
      </c>
      <c r="O99" s="6">
        <f t="shared" si="36"/>
        <v>11.100000000000001</v>
      </c>
      <c r="P99" s="6">
        <f t="shared" si="36"/>
        <v>6.9925618269165462</v>
      </c>
      <c r="Q99" s="6">
        <f t="shared" si="36"/>
        <v>4.405037919211753</v>
      </c>
      <c r="R99" s="6">
        <f t="shared" si="43"/>
        <v>2.7749999999999999</v>
      </c>
    </row>
    <row r="100" spans="1:18" x14ac:dyDescent="0.25">
      <c r="A100" s="33">
        <v>2003</v>
      </c>
      <c r="B100" s="33">
        <v>105</v>
      </c>
      <c r="C100" s="11">
        <f t="shared" si="39"/>
        <v>2.0211892990699383</v>
      </c>
      <c r="D100" s="21">
        <f t="shared" si="40"/>
        <v>0</v>
      </c>
      <c r="E100" s="11">
        <f t="shared" ref="E100:E113" si="48">RANK(B100,B$24:B$113)/($B$18+1)</f>
        <v>0.12087912087912088</v>
      </c>
      <c r="F100" s="11">
        <f t="shared" si="42"/>
        <v>0.24536604634112724</v>
      </c>
      <c r="G100" s="17"/>
      <c r="H100" s="6">
        <f t="shared" si="37"/>
        <v>190.79766224737463</v>
      </c>
      <c r="I100" s="6">
        <f t="shared" si="38"/>
        <v>120.19499546809983</v>
      </c>
      <c r="J100" s="6">
        <f t="shared" si="38"/>
        <v>91.725948797311403</v>
      </c>
      <c r="K100" s="6">
        <f t="shared" si="38"/>
        <v>75.718102441138939</v>
      </c>
      <c r="L100" s="6">
        <f t="shared" si="38"/>
        <v>57.783726855655971</v>
      </c>
      <c r="M100" s="6">
        <f t="shared" si="38"/>
        <v>36.401466903408327</v>
      </c>
      <c r="N100" s="6">
        <f t="shared" si="38"/>
        <v>22.931487199327844</v>
      </c>
      <c r="O100" s="6">
        <f t="shared" si="36"/>
        <v>17.500000000000004</v>
      </c>
      <c r="P100" s="6">
        <f t="shared" si="36"/>
        <v>11.02430918658014</v>
      </c>
      <c r="Q100" s="6">
        <f t="shared" si="36"/>
        <v>6.9448796023608725</v>
      </c>
      <c r="R100" s="6">
        <f t="shared" si="43"/>
        <v>4.375</v>
      </c>
    </row>
    <row r="101" spans="1:18" x14ac:dyDescent="0.25">
      <c r="A101" s="33">
        <v>2004</v>
      </c>
      <c r="B101" s="33">
        <v>57</v>
      </c>
      <c r="C101" s="11">
        <f t="shared" si="39"/>
        <v>1.7558748556724915</v>
      </c>
      <c r="D101" s="21">
        <f t="shared" si="40"/>
        <v>0</v>
      </c>
      <c r="E101" s="11">
        <f t="shared" si="48"/>
        <v>0.78021978021978022</v>
      </c>
      <c r="F101" s="11">
        <f t="shared" si="42"/>
        <v>0.43658812745021736</v>
      </c>
      <c r="G101" s="17"/>
      <c r="H101" s="6">
        <f t="shared" si="37"/>
        <v>103.57587379143195</v>
      </c>
      <c r="I101" s="6">
        <f t="shared" ref="I101:N113" si="49">($B101*((I$23/60)/24)^(1/3))/I$23*60</f>
        <v>65.248711825539914</v>
      </c>
      <c r="J101" s="6">
        <f t="shared" si="49"/>
        <v>49.794086489969047</v>
      </c>
      <c r="K101" s="6">
        <f t="shared" si="49"/>
        <v>41.104112753761143</v>
      </c>
      <c r="L101" s="6">
        <f t="shared" si="49"/>
        <v>31.368308864498953</v>
      </c>
      <c r="M101" s="6">
        <f t="shared" si="49"/>
        <v>19.760796318993091</v>
      </c>
      <c r="N101" s="6">
        <f t="shared" si="49"/>
        <v>12.448521622492258</v>
      </c>
      <c r="O101" s="6">
        <f t="shared" si="36"/>
        <v>9.5000000000000036</v>
      </c>
      <c r="P101" s="6">
        <f t="shared" si="36"/>
        <v>5.9846249870006476</v>
      </c>
      <c r="Q101" s="6">
        <f t="shared" si="36"/>
        <v>3.7700774984244738</v>
      </c>
      <c r="R101" s="6">
        <f t="shared" si="43"/>
        <v>2.375</v>
      </c>
    </row>
    <row r="102" spans="1:18" x14ac:dyDescent="0.25">
      <c r="A102" s="33">
        <v>2006</v>
      </c>
      <c r="B102" s="33">
        <v>82</v>
      </c>
      <c r="C102" s="11">
        <f t="shared" si="39"/>
        <v>1.9138138523837167</v>
      </c>
      <c r="D102" s="21">
        <f t="shared" si="40"/>
        <v>0</v>
      </c>
      <c r="E102" s="11">
        <f t="shared" si="48"/>
        <v>0.26373626373626374</v>
      </c>
      <c r="F102" s="11">
        <f t="shared" si="42"/>
        <v>0.32698028514436228</v>
      </c>
      <c r="G102" s="17"/>
      <c r="H102" s="6">
        <f t="shared" si="37"/>
        <v>149.00388861223544</v>
      </c>
      <c r="I102" s="6">
        <f t="shared" si="49"/>
        <v>93.866567889373215</v>
      </c>
      <c r="J102" s="6">
        <f t="shared" si="49"/>
        <v>71.633598108376518</v>
      </c>
      <c r="K102" s="6">
        <f t="shared" si="49"/>
        <v>59.132232382603746</v>
      </c>
      <c r="L102" s="6">
        <f t="shared" si="49"/>
        <v>45.126339068226564</v>
      </c>
      <c r="M102" s="6">
        <f t="shared" si="49"/>
        <v>28.427812248376025</v>
      </c>
      <c r="N102" s="6">
        <f t="shared" si="49"/>
        <v>17.908399527094126</v>
      </c>
      <c r="O102" s="6">
        <f t="shared" si="36"/>
        <v>13.66666666666667</v>
      </c>
      <c r="P102" s="6">
        <f t="shared" si="36"/>
        <v>8.6094605076149673</v>
      </c>
      <c r="Q102" s="6">
        <f t="shared" si="36"/>
        <v>5.4236202608913482</v>
      </c>
      <c r="R102" s="6">
        <f t="shared" si="43"/>
        <v>3.4166666666666665</v>
      </c>
    </row>
    <row r="103" spans="1:18" x14ac:dyDescent="0.25">
      <c r="A103" s="33">
        <v>2007</v>
      </c>
      <c r="B103" s="33">
        <v>79.8</v>
      </c>
      <c r="C103" s="11">
        <f t="shared" si="39"/>
        <v>1.9020028913507294</v>
      </c>
      <c r="D103" s="21">
        <f t="shared" si="40"/>
        <v>0</v>
      </c>
      <c r="E103" s="11">
        <f t="shared" si="48"/>
        <v>0.30769230769230771</v>
      </c>
      <c r="F103" s="11">
        <f t="shared" si="42"/>
        <v>0.3357624593398153</v>
      </c>
      <c r="G103" s="17"/>
      <c r="H103" s="6">
        <f t="shared" si="37"/>
        <v>145.00622330800473</v>
      </c>
      <c r="I103" s="6">
        <f t="shared" si="49"/>
        <v>91.348196555755877</v>
      </c>
      <c r="J103" s="6">
        <f t="shared" si="49"/>
        <v>69.711721085956654</v>
      </c>
      <c r="K103" s="6">
        <f t="shared" si="49"/>
        <v>57.545757855265599</v>
      </c>
      <c r="L103" s="6">
        <f t="shared" si="49"/>
        <v>43.915632410298535</v>
      </c>
      <c r="M103" s="6">
        <f t="shared" si="49"/>
        <v>27.665114846590328</v>
      </c>
      <c r="N103" s="6">
        <f t="shared" si="49"/>
        <v>17.42793027148916</v>
      </c>
      <c r="O103" s="6">
        <f t="shared" si="36"/>
        <v>13.300000000000002</v>
      </c>
      <c r="P103" s="6">
        <f t="shared" si="36"/>
        <v>8.3784749818009061</v>
      </c>
      <c r="Q103" s="6">
        <f t="shared" si="36"/>
        <v>5.2781084977942641</v>
      </c>
      <c r="R103" s="6">
        <f t="shared" si="43"/>
        <v>3.3249999999999997</v>
      </c>
    </row>
    <row r="104" spans="1:18" x14ac:dyDescent="0.25">
      <c r="A104" s="33">
        <v>2008</v>
      </c>
      <c r="B104" s="33">
        <v>61.5</v>
      </c>
      <c r="C104" s="11">
        <f t="shared" si="39"/>
        <v>1.7888751157754168</v>
      </c>
      <c r="D104" s="21">
        <f t="shared" si="40"/>
        <v>0</v>
      </c>
      <c r="E104" s="11">
        <f t="shared" si="48"/>
        <v>0.70329670329670335</v>
      </c>
      <c r="F104" s="11">
        <f t="shared" si="42"/>
        <v>0.41532465339008084</v>
      </c>
      <c r="G104" s="17"/>
      <c r="H104" s="6">
        <f t="shared" si="37"/>
        <v>111.75291645917657</v>
      </c>
      <c r="I104" s="6">
        <f t="shared" si="49"/>
        <v>70.399925917029904</v>
      </c>
      <c r="J104" s="6">
        <f t="shared" si="49"/>
        <v>53.725198581282392</v>
      </c>
      <c r="K104" s="6">
        <f t="shared" si="49"/>
        <v>44.34917428695281</v>
      </c>
      <c r="L104" s="6">
        <f t="shared" si="49"/>
        <v>33.844754301169921</v>
      </c>
      <c r="M104" s="6">
        <f t="shared" si="49"/>
        <v>21.320859186282018</v>
      </c>
      <c r="N104" s="6">
        <f t="shared" si="49"/>
        <v>13.431299645320594</v>
      </c>
      <c r="O104" s="6">
        <f t="shared" si="36"/>
        <v>10.250000000000002</v>
      </c>
      <c r="P104" s="6">
        <f t="shared" si="36"/>
        <v>6.4570953807112259</v>
      </c>
      <c r="Q104" s="6">
        <f t="shared" si="36"/>
        <v>4.0677151956685114</v>
      </c>
      <c r="R104" s="6">
        <f t="shared" si="43"/>
        <v>2.5625</v>
      </c>
    </row>
    <row r="105" spans="1:18" x14ac:dyDescent="0.25">
      <c r="A105" s="33">
        <v>2009</v>
      </c>
      <c r="B105" s="33">
        <v>54.7</v>
      </c>
      <c r="C105" s="11">
        <f t="shared" si="39"/>
        <v>1.7379873263334309</v>
      </c>
      <c r="D105" s="21">
        <f t="shared" si="40"/>
        <v>0</v>
      </c>
      <c r="E105" s="11">
        <f t="shared" si="48"/>
        <v>0.82417582417582413</v>
      </c>
      <c r="F105" s="11">
        <f t="shared" si="42"/>
        <v>0.44769537173822982</v>
      </c>
      <c r="G105" s="17"/>
      <c r="H105" s="6">
        <f t="shared" si="37"/>
        <v>99.396496427918038</v>
      </c>
      <c r="I105" s="6">
        <f t="shared" si="49"/>
        <v>62.615869067667255</v>
      </c>
      <c r="J105" s="6">
        <f t="shared" si="49"/>
        <v>47.784851421075558</v>
      </c>
      <c r="K105" s="6">
        <f t="shared" si="49"/>
        <v>39.445525747907631</v>
      </c>
      <c r="L105" s="6">
        <f t="shared" si="49"/>
        <v>30.10257008575601</v>
      </c>
      <c r="M105" s="6">
        <f t="shared" si="49"/>
        <v>18.963430853489861</v>
      </c>
      <c r="N105" s="6">
        <f t="shared" si="49"/>
        <v>11.946212855268886</v>
      </c>
      <c r="O105" s="6">
        <f t="shared" si="36"/>
        <v>9.1166666666666689</v>
      </c>
      <c r="P105" s="6">
        <f t="shared" si="36"/>
        <v>5.7431401191041305</v>
      </c>
      <c r="Q105" s="6">
        <f t="shared" si="36"/>
        <v>3.6179515642775217</v>
      </c>
      <c r="R105" s="6">
        <f t="shared" si="43"/>
        <v>2.2791666666666668</v>
      </c>
    </row>
    <row r="106" spans="1:18" x14ac:dyDescent="0.25">
      <c r="A106" s="33">
        <v>2010</v>
      </c>
      <c r="B106" s="33">
        <v>128</v>
      </c>
      <c r="C106" s="11">
        <f t="shared" si="39"/>
        <v>2.1072099696478683</v>
      </c>
      <c r="D106" s="21">
        <f t="shared" si="40"/>
        <v>0</v>
      </c>
      <c r="E106" s="11">
        <f t="shared" si="48"/>
        <v>6.5934065934065936E-2</v>
      </c>
      <c r="F106" s="11">
        <f t="shared" si="42"/>
        <v>0.18139075886649736</v>
      </c>
      <c r="G106" s="17"/>
      <c r="H106" s="6">
        <f t="shared" si="37"/>
        <v>232.59143588251385</v>
      </c>
      <c r="I106" s="6">
        <f t="shared" si="49"/>
        <v>146.52342304682648</v>
      </c>
      <c r="J106" s="6">
        <f t="shared" si="49"/>
        <v>111.81829948624627</v>
      </c>
      <c r="K106" s="6">
        <f t="shared" si="49"/>
        <v>92.303972499674146</v>
      </c>
      <c r="L106" s="6">
        <f t="shared" si="49"/>
        <v>70.441114643085371</v>
      </c>
      <c r="M106" s="6">
        <f t="shared" si="49"/>
        <v>44.375121558440625</v>
      </c>
      <c r="N106" s="6">
        <f t="shared" si="49"/>
        <v>27.954574871561562</v>
      </c>
      <c r="O106" s="6">
        <f>($B106*((O$23/60)/24)^(1/3))/O$23*60</f>
        <v>21.333333333333336</v>
      </c>
      <c r="P106" s="6">
        <f t="shared" ref="O106:Q113" si="50">($B106*((P$23/60)/24)^(1/3))/P$23*60</f>
        <v>13.439157865545315</v>
      </c>
      <c r="Q106" s="6">
        <f t="shared" si="50"/>
        <v>8.4661389438303978</v>
      </c>
      <c r="R106" s="6">
        <f t="shared" si="43"/>
        <v>5.3333333333333339</v>
      </c>
    </row>
    <row r="107" spans="1:18" x14ac:dyDescent="0.25">
      <c r="A107" s="33">
        <v>2011</v>
      </c>
      <c r="B107" s="33">
        <v>88</v>
      </c>
      <c r="C107" s="11">
        <f t="shared" si="39"/>
        <v>1.9444826721501687</v>
      </c>
      <c r="D107" s="21">
        <f t="shared" si="40"/>
        <v>0</v>
      </c>
      <c r="E107" s="11">
        <f t="shared" si="48"/>
        <v>0.2087912087912088</v>
      </c>
      <c r="F107" s="11">
        <f t="shared" si="42"/>
        <v>0.3039003371212271</v>
      </c>
      <c r="G107" s="17"/>
      <c r="H107" s="6">
        <f t="shared" si="37"/>
        <v>159.90661216922828</v>
      </c>
      <c r="I107" s="6">
        <f t="shared" si="49"/>
        <v>100.73485334469321</v>
      </c>
      <c r="J107" s="6">
        <f t="shared" si="49"/>
        <v>76.875080896794316</v>
      </c>
      <c r="K107" s="6">
        <f t="shared" si="49"/>
        <v>63.458981093525971</v>
      </c>
      <c r="L107" s="6">
        <f t="shared" si="49"/>
        <v>48.428266317121192</v>
      </c>
      <c r="M107" s="6">
        <f t="shared" si="49"/>
        <v>30.507896071427929</v>
      </c>
      <c r="N107" s="6">
        <f t="shared" si="49"/>
        <v>19.218770224198572</v>
      </c>
      <c r="O107" s="6">
        <f t="shared" si="50"/>
        <v>14.66666666666667</v>
      </c>
      <c r="P107" s="6">
        <f t="shared" si="50"/>
        <v>9.2394210325624027</v>
      </c>
      <c r="Q107" s="6">
        <f t="shared" si="50"/>
        <v>5.8204705238833983</v>
      </c>
      <c r="R107" s="6">
        <f t="shared" si="43"/>
        <v>3.6666666666666665</v>
      </c>
    </row>
    <row r="108" spans="1:18" x14ac:dyDescent="0.25">
      <c r="A108" s="33">
        <v>2012</v>
      </c>
      <c r="B108" s="33">
        <v>63.4</v>
      </c>
      <c r="C108" s="11">
        <f t="shared" si="39"/>
        <v>1.8020892578817327</v>
      </c>
      <c r="D108" s="21">
        <f t="shared" si="40"/>
        <v>0</v>
      </c>
      <c r="E108" s="11">
        <f t="shared" si="48"/>
        <v>0.65934065934065933</v>
      </c>
      <c r="F108" s="11">
        <f t="shared" si="42"/>
        <v>0.40653933434087197</v>
      </c>
      <c r="G108" s="17"/>
      <c r="H108" s="6">
        <f t="shared" si="37"/>
        <v>115.20544558555765</v>
      </c>
      <c r="I108" s="6">
        <f t="shared" si="49"/>
        <v>72.574882977881245</v>
      </c>
      <c r="J108" s="6">
        <f t="shared" si="49"/>
        <v>55.385001464281359</v>
      </c>
      <c r="K108" s="6">
        <f t="shared" si="49"/>
        <v>45.719311378744848</v>
      </c>
      <c r="L108" s="6">
        <f t="shared" si="49"/>
        <v>34.890364596653221</v>
      </c>
      <c r="M108" s="6">
        <f t="shared" si="49"/>
        <v>21.979552396915121</v>
      </c>
      <c r="N108" s="6">
        <f t="shared" si="49"/>
        <v>13.846250366070336</v>
      </c>
      <c r="O108" s="6">
        <f t="shared" si="50"/>
        <v>10.566666666666668</v>
      </c>
      <c r="P108" s="6">
        <f t="shared" si="50"/>
        <v>6.656582880277913</v>
      </c>
      <c r="Q108" s="6">
        <f t="shared" si="50"/>
        <v>4.1933844456159939</v>
      </c>
      <c r="R108" s="6">
        <f t="shared" si="43"/>
        <v>2.6416666666666666</v>
      </c>
    </row>
    <row r="109" spans="1:18" x14ac:dyDescent="0.25">
      <c r="A109" s="33">
        <v>2013</v>
      </c>
      <c r="B109" s="33">
        <v>93.4</v>
      </c>
      <c r="C109" s="11">
        <f t="shared" si="39"/>
        <v>1.9703468762300933</v>
      </c>
      <c r="D109" s="21">
        <f t="shared" si="40"/>
        <v>0</v>
      </c>
      <c r="E109" s="11">
        <f t="shared" si="48"/>
        <v>0.17582417582417584</v>
      </c>
      <c r="F109" s="11">
        <f t="shared" si="42"/>
        <v>0.28421683753186955</v>
      </c>
      <c r="G109" s="17"/>
      <c r="H109" s="6">
        <f t="shared" si="37"/>
        <v>169.71906337052184</v>
      </c>
      <c r="I109" s="6">
        <f t="shared" si="49"/>
        <v>106.9163102544812</v>
      </c>
      <c r="J109" s="6">
        <f t="shared" si="49"/>
        <v>81.592415406370336</v>
      </c>
      <c r="K109" s="6">
        <f t="shared" si="49"/>
        <v>67.353054933355978</v>
      </c>
      <c r="L109" s="6">
        <f t="shared" si="49"/>
        <v>51.400000841126356</v>
      </c>
      <c r="M109" s="6">
        <f t="shared" si="49"/>
        <v>32.379971512174649</v>
      </c>
      <c r="N109" s="6">
        <f t="shared" si="49"/>
        <v>20.398103851592577</v>
      </c>
      <c r="O109" s="6">
        <f t="shared" si="50"/>
        <v>15.566666666666668</v>
      </c>
      <c r="P109" s="6">
        <f t="shared" si="50"/>
        <v>9.806385505015097</v>
      </c>
      <c r="Q109" s="6">
        <f t="shared" si="50"/>
        <v>6.1776357605762442</v>
      </c>
      <c r="R109" s="6">
        <f t="shared" si="43"/>
        <v>3.8916666666666671</v>
      </c>
    </row>
    <row r="110" spans="1:18" x14ac:dyDescent="0.25">
      <c r="A110" s="33">
        <v>2014</v>
      </c>
      <c r="B110" s="33">
        <v>76.7</v>
      </c>
      <c r="C110" s="11">
        <f t="shared" si="39"/>
        <v>1.884795363948981</v>
      </c>
      <c r="D110" s="21">
        <f t="shared" si="40"/>
        <v>0</v>
      </c>
      <c r="E110" s="11">
        <f t="shared" si="48"/>
        <v>0.38461538461538464</v>
      </c>
      <c r="F110" s="11">
        <f t="shared" si="42"/>
        <v>0.34842736246331985</v>
      </c>
      <c r="G110" s="17"/>
      <c r="H110" s="6">
        <f t="shared" si="37"/>
        <v>139.37314947022512</v>
      </c>
      <c r="I110" s="6">
        <f t="shared" si="49"/>
        <v>87.799582403840546</v>
      </c>
      <c r="J110" s="6">
        <f t="shared" si="49"/>
        <v>67.003621645274137</v>
      </c>
      <c r="K110" s="6">
        <f t="shared" si="49"/>
        <v>55.310271021289111</v>
      </c>
      <c r="L110" s="6">
        <f t="shared" si="49"/>
        <v>42.209636665036314</v>
      </c>
      <c r="M110" s="6">
        <f t="shared" si="49"/>
        <v>26.590404871346845</v>
      </c>
      <c r="N110" s="6">
        <f t="shared" si="49"/>
        <v>16.750905411318531</v>
      </c>
      <c r="O110" s="6">
        <f t="shared" si="50"/>
        <v>12.783333333333337</v>
      </c>
      <c r="P110" s="6">
        <f t="shared" si="50"/>
        <v>8.0529953772447325</v>
      </c>
      <c r="Q110" s="6">
        <f t="shared" si="50"/>
        <v>5.0730691952483715</v>
      </c>
      <c r="R110" s="6">
        <f t="shared" si="43"/>
        <v>3.1958333333333333</v>
      </c>
    </row>
    <row r="111" spans="1:18" x14ac:dyDescent="0.25">
      <c r="A111" s="33">
        <v>2015</v>
      </c>
      <c r="B111" s="33">
        <v>58.1</v>
      </c>
      <c r="C111" s="11">
        <f t="shared" si="39"/>
        <v>1.7641761323903307</v>
      </c>
      <c r="D111" s="21">
        <f t="shared" si="40"/>
        <v>0</v>
      </c>
      <c r="E111" s="11">
        <f t="shared" si="48"/>
        <v>0.76923076923076927</v>
      </c>
      <c r="F111" s="11">
        <f t="shared" si="42"/>
        <v>0.43133233485134126</v>
      </c>
      <c r="G111" s="17"/>
      <c r="H111" s="6">
        <f t="shared" si="37"/>
        <v>105.5747064435473</v>
      </c>
      <c r="I111" s="6">
        <f t="shared" si="49"/>
        <v>66.507897492348576</v>
      </c>
      <c r="J111" s="6">
        <f t="shared" si="49"/>
        <v>50.755025001178971</v>
      </c>
      <c r="K111" s="6">
        <f t="shared" si="49"/>
        <v>41.89735001743022</v>
      </c>
      <c r="L111" s="6">
        <f t="shared" si="49"/>
        <v>31.973662193462971</v>
      </c>
      <c r="M111" s="6">
        <f t="shared" si="49"/>
        <v>20.142145019885941</v>
      </c>
      <c r="N111" s="6">
        <f t="shared" si="49"/>
        <v>12.688756250294741</v>
      </c>
      <c r="O111" s="6">
        <f t="shared" si="50"/>
        <v>9.6833333333333371</v>
      </c>
      <c r="P111" s="6">
        <f t="shared" si="50"/>
        <v>6.1001177499076782</v>
      </c>
      <c r="Q111" s="6">
        <f t="shared" si="50"/>
        <v>3.8428333799730168</v>
      </c>
      <c r="R111" s="6">
        <f t="shared" si="43"/>
        <v>2.4208333333333334</v>
      </c>
    </row>
    <row r="112" spans="1:18" x14ac:dyDescent="0.25">
      <c r="A112" s="33">
        <v>2016</v>
      </c>
      <c r="B112" s="33">
        <v>64.5</v>
      </c>
      <c r="C112" s="11">
        <f t="shared" si="39"/>
        <v>1.8095597146352678</v>
      </c>
      <c r="D112" s="21">
        <f t="shared" si="40"/>
        <v>0</v>
      </c>
      <c r="E112" s="11">
        <f t="shared" si="48"/>
        <v>0.63736263736263732</v>
      </c>
      <c r="F112" s="11">
        <f t="shared" si="42"/>
        <v>0.40150671693873208</v>
      </c>
      <c r="G112" s="17"/>
      <c r="H112" s="6">
        <f t="shared" si="37"/>
        <v>117.20427823767299</v>
      </c>
      <c r="I112" s="6">
        <f t="shared" si="49"/>
        <v>73.834068644689907</v>
      </c>
      <c r="J112" s="6">
        <f t="shared" si="49"/>
        <v>56.345939975491284</v>
      </c>
      <c r="K112" s="6">
        <f t="shared" si="49"/>
        <v>46.512548642413925</v>
      </c>
      <c r="L112" s="6">
        <f t="shared" si="49"/>
        <v>35.495717925617235</v>
      </c>
      <c r="M112" s="6">
        <f t="shared" si="49"/>
        <v>22.360901097807972</v>
      </c>
      <c r="N112" s="6">
        <f t="shared" si="49"/>
        <v>14.086484993872817</v>
      </c>
      <c r="O112" s="6">
        <f t="shared" si="50"/>
        <v>10.750000000000002</v>
      </c>
      <c r="P112" s="6">
        <f t="shared" si="50"/>
        <v>6.7720756431849436</v>
      </c>
      <c r="Q112" s="6">
        <f t="shared" si="50"/>
        <v>4.2661403271645364</v>
      </c>
      <c r="R112" s="6">
        <f t="shared" si="43"/>
        <v>2.6875</v>
      </c>
    </row>
    <row r="113" spans="1:18" x14ac:dyDescent="0.25">
      <c r="A113" s="33">
        <v>2017</v>
      </c>
      <c r="B113" s="33">
        <v>77</v>
      </c>
      <c r="C113" s="11">
        <f t="shared" si="39"/>
        <v>1.8864907251724818</v>
      </c>
      <c r="D113" s="21">
        <f t="shared" si="40"/>
        <v>0</v>
      </c>
      <c r="E113" s="11">
        <f t="shared" si="48"/>
        <v>0.36263736263736263</v>
      </c>
      <c r="F113" s="11">
        <f t="shared" si="42"/>
        <v>0.34718694438198139</v>
      </c>
      <c r="G113" s="17"/>
      <c r="H113" s="6">
        <f t="shared" si="37"/>
        <v>139.91828564807474</v>
      </c>
      <c r="I113" s="6">
        <f t="shared" si="49"/>
        <v>88.142996676606558</v>
      </c>
      <c r="J113" s="6">
        <f t="shared" si="49"/>
        <v>67.265695784695026</v>
      </c>
      <c r="K113" s="6">
        <f t="shared" si="49"/>
        <v>55.526608456835227</v>
      </c>
      <c r="L113" s="6">
        <f t="shared" si="49"/>
        <v>42.374733027481042</v>
      </c>
      <c r="M113" s="6">
        <f t="shared" si="49"/>
        <v>26.694409062499439</v>
      </c>
      <c r="N113" s="6">
        <f t="shared" si="49"/>
        <v>16.816423946173753</v>
      </c>
      <c r="O113" s="6">
        <f t="shared" si="50"/>
        <v>12.833333333333336</v>
      </c>
      <c r="P113" s="6">
        <f t="shared" si="50"/>
        <v>8.0844934034921021</v>
      </c>
      <c r="Q113" s="6">
        <f t="shared" si="50"/>
        <v>5.0929117083979731</v>
      </c>
      <c r="R113" s="6">
        <f t="shared" si="43"/>
        <v>3.208333333333333</v>
      </c>
    </row>
    <row r="387" spans="4:7" x14ac:dyDescent="0.25">
      <c r="D387" s="22"/>
      <c r="E387" s="22"/>
      <c r="F387" s="22"/>
      <c r="G387" s="23"/>
    </row>
  </sheetData>
  <mergeCells count="7">
    <mergeCell ref="A1:R1"/>
    <mergeCell ref="B2:G2"/>
    <mergeCell ref="A22:D22"/>
    <mergeCell ref="H22:R22"/>
    <mergeCell ref="Q3:R3"/>
    <mergeCell ref="Q8:R8"/>
    <mergeCell ref="J3:O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2</vt:i4>
      </vt:variant>
    </vt:vector>
  </HeadingPairs>
  <TitlesOfParts>
    <vt:vector size="4" baseType="lpstr">
      <vt:lpstr>Input</vt:lpstr>
      <vt:lpstr>Output</vt:lpstr>
      <vt:lpstr>IDF</vt:lpstr>
      <vt:lpstr>DDF</vt:lpstr>
    </vt:vector>
  </TitlesOfParts>
  <Company>Water and Sewerage Authority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Kevan Lee Lum</dc:creator>
  <cp:lastModifiedBy>Kevan Lee Lum</cp:lastModifiedBy>
  <cp:lastPrinted>2017-06-20T13:44:46Z</cp:lastPrinted>
  <dcterms:created xsi:type="dcterms:W3CDTF">2015-05-01T12:56:37Z</dcterms:created>
  <dcterms:modified xsi:type="dcterms:W3CDTF">2018-01-31T17:30:28Z</dcterms:modified>
</cp:coreProperties>
</file>