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m1679\Documents\Monthly Reports\2018\"/>
    </mc:Choice>
  </mc:AlternateContent>
  <bookViews>
    <workbookView xWindow="-4860" yWindow="60" windowWidth="12120" windowHeight="7935" tabRatio="780" activeTab="3"/>
  </bookViews>
  <sheets>
    <sheet name="Rainfall Graphs" sheetId="24" r:id="rId1"/>
    <sheet name="Caroni " sheetId="16" r:id="rId2"/>
    <sheet name="Navet " sheetId="14" r:id="rId3"/>
    <sheet name="Hollis " sheetId="15" r:id="rId4"/>
    <sheet name="Hillsborough " sheetId="13" r:id="rId5"/>
    <sheet name="Summary" sheetId="27" r:id="rId6"/>
    <sheet name="HistRainfall" sheetId="26" r:id="rId7"/>
    <sheet name="Evap" sheetId="29" r:id="rId8"/>
  </sheets>
  <calcPr calcId="152511"/>
</workbook>
</file>

<file path=xl/calcChain.xml><?xml version="1.0" encoding="utf-8"?>
<calcChain xmlns="http://schemas.openxmlformats.org/spreadsheetml/2006/main">
  <c r="L3" i="29" l="1"/>
  <c r="L4" i="29"/>
  <c r="L5" i="29"/>
  <c r="L6" i="29"/>
  <c r="L7" i="29"/>
  <c r="L8" i="29"/>
  <c r="L9" i="29"/>
  <c r="L10" i="29"/>
  <c r="L11" i="29"/>
  <c r="L12" i="29"/>
  <c r="L13" i="29"/>
  <c r="L2" i="29"/>
  <c r="D26" i="27" l="1"/>
  <c r="E26" i="27"/>
  <c r="F26" i="27"/>
  <c r="G26" i="27"/>
  <c r="H26" i="27"/>
  <c r="I26" i="27"/>
  <c r="J26" i="27"/>
  <c r="K26" i="27"/>
  <c r="L26" i="27"/>
  <c r="M26" i="27"/>
  <c r="N26" i="27"/>
  <c r="C26" i="27"/>
  <c r="D18" i="27"/>
  <c r="E18" i="27"/>
  <c r="F18" i="27"/>
  <c r="G18" i="27"/>
  <c r="H18" i="27"/>
  <c r="I18" i="27"/>
  <c r="J18" i="27"/>
  <c r="K18" i="27"/>
  <c r="L18" i="27"/>
  <c r="M18" i="27"/>
  <c r="N18" i="27"/>
  <c r="C18" i="27"/>
  <c r="D10" i="27"/>
  <c r="E10" i="27"/>
  <c r="F10" i="27"/>
  <c r="G10" i="27"/>
  <c r="H10" i="27"/>
  <c r="I10" i="27"/>
  <c r="J10" i="27"/>
  <c r="K10" i="27"/>
  <c r="L10" i="27"/>
  <c r="M10" i="27"/>
  <c r="N10" i="27"/>
  <c r="C10" i="27"/>
  <c r="D3" i="27"/>
  <c r="E3" i="27"/>
  <c r="F3" i="27"/>
  <c r="G3" i="27"/>
  <c r="H3" i="27"/>
  <c r="I3" i="27"/>
  <c r="J3" i="27"/>
  <c r="K3" i="27"/>
  <c r="L3" i="27"/>
  <c r="M3" i="27"/>
  <c r="N3" i="27"/>
  <c r="C3" i="27"/>
  <c r="H14" i="29" l="1"/>
  <c r="I14" i="29"/>
  <c r="J14" i="29"/>
  <c r="G14" i="29"/>
  <c r="H2" i="29"/>
  <c r="I2" i="29"/>
  <c r="J2" i="29"/>
  <c r="H3" i="29"/>
  <c r="I3" i="29"/>
  <c r="J3" i="29"/>
  <c r="H4" i="29"/>
  <c r="I4" i="29"/>
  <c r="J4" i="29"/>
  <c r="H5" i="29"/>
  <c r="I5" i="29"/>
  <c r="J5" i="29"/>
  <c r="H6" i="29"/>
  <c r="I6" i="29"/>
  <c r="J6" i="29"/>
  <c r="H7" i="29"/>
  <c r="I7" i="29"/>
  <c r="J7" i="29"/>
  <c r="H8" i="29"/>
  <c r="I8" i="29"/>
  <c r="J8" i="29"/>
  <c r="H9" i="29"/>
  <c r="I9" i="29"/>
  <c r="J9" i="29"/>
  <c r="H10" i="29"/>
  <c r="I10" i="29"/>
  <c r="J10" i="29"/>
  <c r="H11" i="29"/>
  <c r="I11" i="29"/>
  <c r="J11" i="29"/>
  <c r="H12" i="29"/>
  <c r="I12" i="29"/>
  <c r="J12" i="29"/>
  <c r="H13" i="29"/>
  <c r="I13" i="29"/>
  <c r="J13" i="29"/>
  <c r="G3" i="29"/>
  <c r="G4" i="29"/>
  <c r="G5" i="29"/>
  <c r="G6" i="29"/>
  <c r="G7" i="29"/>
  <c r="G8" i="29"/>
  <c r="G9" i="29"/>
  <c r="G10" i="29"/>
  <c r="G11" i="29"/>
  <c r="G12" i="29"/>
  <c r="G13" i="29"/>
  <c r="G2" i="29"/>
  <c r="F3" i="24" l="1"/>
  <c r="M57" i="24" l="1"/>
  <c r="M58" i="24"/>
  <c r="M59" i="24"/>
  <c r="M48" i="24"/>
  <c r="M49" i="24"/>
  <c r="M50" i="24"/>
  <c r="M51" i="24"/>
  <c r="M52" i="24"/>
  <c r="M53" i="24"/>
  <c r="M54" i="24"/>
  <c r="M55" i="24"/>
  <c r="F49" i="24"/>
  <c r="F50" i="24"/>
  <c r="F51" i="24"/>
  <c r="F52" i="24"/>
  <c r="F53" i="24"/>
  <c r="F57" i="24"/>
  <c r="F58" i="24"/>
  <c r="F59" i="24"/>
  <c r="F48" i="24"/>
  <c r="M12" i="24"/>
  <c r="M13" i="24"/>
  <c r="M14" i="24"/>
  <c r="M3" i="24"/>
  <c r="M4" i="24"/>
  <c r="M5" i="24"/>
  <c r="M6" i="24"/>
  <c r="M7" i="24"/>
  <c r="M8" i="24"/>
  <c r="M9" i="24"/>
  <c r="M10" i="24"/>
  <c r="F5" i="24"/>
  <c r="F6" i="24"/>
  <c r="F7" i="24"/>
  <c r="F8" i="24"/>
  <c r="F9" i="24"/>
  <c r="F10" i="24"/>
  <c r="F4" i="24"/>
  <c r="M56" i="24" l="1"/>
  <c r="F56" i="24"/>
  <c r="F55" i="24"/>
  <c r="F54" i="24"/>
  <c r="M11" i="24"/>
  <c r="F11" i="24"/>
  <c r="F12" i="24"/>
  <c r="F13" i="24"/>
  <c r="F14" i="24"/>
  <c r="A2" i="13" l="1"/>
  <c r="A2" i="15"/>
  <c r="D31" i="27" l="1"/>
  <c r="E31" i="27"/>
  <c r="F31" i="27"/>
  <c r="G31" i="27"/>
  <c r="H31" i="27"/>
  <c r="I31" i="27"/>
  <c r="J31" i="27"/>
  <c r="K31" i="27"/>
  <c r="L31" i="27"/>
  <c r="M31" i="27"/>
  <c r="N31" i="27"/>
  <c r="C31" i="27"/>
  <c r="D23" i="27"/>
  <c r="E23" i="27"/>
  <c r="F23" i="27"/>
  <c r="G23" i="27"/>
  <c r="H23" i="27"/>
  <c r="I23" i="27"/>
  <c r="J23" i="27"/>
  <c r="K23" i="27"/>
  <c r="L23" i="27"/>
  <c r="M23" i="27"/>
  <c r="N23" i="27"/>
  <c r="C23" i="27"/>
  <c r="D14" i="27"/>
  <c r="E14" i="27"/>
  <c r="F14" i="27"/>
  <c r="G14" i="27"/>
  <c r="H14" i="27"/>
  <c r="I14" i="27"/>
  <c r="J14" i="27"/>
  <c r="K14" i="27"/>
  <c r="L14" i="27"/>
  <c r="M14" i="27"/>
  <c r="N14" i="27"/>
  <c r="D15" i="27"/>
  <c r="E15" i="27"/>
  <c r="F15" i="27"/>
  <c r="G15" i="27"/>
  <c r="H15" i="27"/>
  <c r="I15" i="27"/>
  <c r="J15" i="27"/>
  <c r="K15" i="27"/>
  <c r="L15" i="27"/>
  <c r="M15" i="27"/>
  <c r="N15" i="27"/>
  <c r="C15" i="27"/>
  <c r="C14" i="27"/>
  <c r="D7" i="27"/>
  <c r="E7" i="27"/>
  <c r="F7" i="27"/>
  <c r="G7" i="27"/>
  <c r="H7" i="27"/>
  <c r="I7" i="27"/>
  <c r="J7" i="27"/>
  <c r="K7" i="27"/>
  <c r="L7" i="27"/>
  <c r="M7" i="27"/>
  <c r="N7" i="27"/>
  <c r="C7" i="27"/>
  <c r="N8" i="27"/>
  <c r="M8" i="27"/>
  <c r="L8" i="27"/>
  <c r="K8" i="27"/>
  <c r="J8" i="27"/>
  <c r="I8" i="27"/>
  <c r="H8" i="27"/>
  <c r="G8" i="27"/>
  <c r="F8" i="27"/>
  <c r="E8" i="27"/>
  <c r="D8" i="27"/>
  <c r="C8" i="27"/>
  <c r="AA15" i="14" l="1"/>
  <c r="Y15" i="15"/>
  <c r="Y15" i="13"/>
  <c r="A8" i="13"/>
  <c r="R3" i="15" l="1"/>
  <c r="R4" i="15"/>
  <c r="R5" i="15"/>
  <c r="R6" i="15"/>
  <c r="R7" i="15"/>
  <c r="R8" i="15"/>
  <c r="R9" i="15"/>
  <c r="R10" i="15"/>
  <c r="R11" i="15"/>
  <c r="R12" i="15"/>
  <c r="R13" i="15"/>
  <c r="R14" i="15"/>
  <c r="O21" i="15"/>
  <c r="Q4" i="16" l="1"/>
  <c r="Q5" i="16"/>
  <c r="Q6" i="16"/>
  <c r="Q7" i="16"/>
  <c r="Q8" i="16"/>
  <c r="Q9" i="16"/>
  <c r="Q10" i="16"/>
  <c r="Q11" i="16"/>
  <c r="Q12" i="16"/>
  <c r="Q13" i="16"/>
  <c r="Q14" i="16"/>
  <c r="Q3" i="16"/>
  <c r="R4" i="16"/>
  <c r="R5" i="16"/>
  <c r="R6" i="16"/>
  <c r="R7" i="16"/>
  <c r="R8" i="16"/>
  <c r="R9" i="16"/>
  <c r="R10" i="16"/>
  <c r="R11" i="16"/>
  <c r="R12" i="16"/>
  <c r="R13" i="16"/>
  <c r="R14" i="16"/>
  <c r="R3" i="16"/>
  <c r="N32" i="16" l="1"/>
  <c r="N31" i="16"/>
  <c r="V3" i="15" l="1"/>
  <c r="H57" i="24" l="1"/>
  <c r="H58" i="24"/>
  <c r="H59" i="24"/>
  <c r="H48" i="24"/>
  <c r="H49" i="24"/>
  <c r="H50" i="24"/>
  <c r="H51" i="24"/>
  <c r="H52" i="24"/>
  <c r="H53" i="24"/>
  <c r="H54" i="24"/>
  <c r="H55" i="24"/>
  <c r="H56" i="24"/>
  <c r="A57" i="24"/>
  <c r="A58" i="24"/>
  <c r="A59" i="24"/>
  <c r="A48" i="24"/>
  <c r="A49" i="24"/>
  <c r="A50" i="24"/>
  <c r="A51" i="24"/>
  <c r="A52" i="24"/>
  <c r="A53" i="24"/>
  <c r="A54" i="24"/>
  <c r="A55" i="24"/>
  <c r="A56" i="24"/>
  <c r="H12" i="24"/>
  <c r="H13" i="24"/>
  <c r="H14" i="24"/>
  <c r="H3" i="24"/>
  <c r="H4" i="24"/>
  <c r="H5" i="24"/>
  <c r="H6" i="24"/>
  <c r="H7" i="24"/>
  <c r="H8" i="24"/>
  <c r="H9" i="24"/>
  <c r="H10" i="24"/>
  <c r="H11" i="24"/>
  <c r="Q4" i="14" l="1"/>
  <c r="Q5" i="14"/>
  <c r="Q6" i="14"/>
  <c r="Q7" i="14"/>
  <c r="Q8" i="14"/>
  <c r="Q9" i="14"/>
  <c r="Q10" i="14"/>
  <c r="Q11" i="14"/>
  <c r="Q12" i="14"/>
  <c r="Q13" i="14"/>
  <c r="Q14" i="14"/>
  <c r="Q3" i="14"/>
  <c r="X13" i="16" l="1"/>
  <c r="X3" i="16"/>
  <c r="A14" i="13" l="1"/>
  <c r="A13" i="13"/>
  <c r="A12" i="13"/>
  <c r="A11" i="13"/>
  <c r="A10" i="13"/>
  <c r="A9" i="13"/>
  <c r="A7" i="13"/>
  <c r="A6" i="13"/>
  <c r="A5" i="13"/>
  <c r="A4" i="13"/>
  <c r="A3" i="13"/>
  <c r="A14" i="15"/>
  <c r="A13" i="15"/>
  <c r="A12" i="15"/>
  <c r="A11" i="15"/>
  <c r="A10" i="15"/>
  <c r="A9" i="15"/>
  <c r="A8" i="15"/>
  <c r="A7" i="15"/>
  <c r="A6" i="15"/>
  <c r="A5" i="15"/>
  <c r="A4" i="15"/>
  <c r="A3" i="15"/>
  <c r="A4" i="14"/>
  <c r="A5" i="14"/>
  <c r="A6" i="14"/>
  <c r="A7" i="14"/>
  <c r="A8" i="14"/>
  <c r="A9" i="14"/>
  <c r="A10" i="14"/>
  <c r="A11" i="14"/>
  <c r="A12" i="14"/>
  <c r="A13" i="14"/>
  <c r="A14" i="14"/>
  <c r="A3" i="14"/>
  <c r="R14" i="13" l="1"/>
  <c r="R13" i="13"/>
  <c r="R12" i="13"/>
  <c r="R11" i="13"/>
  <c r="R10" i="13"/>
  <c r="R9" i="13"/>
  <c r="R8" i="13"/>
  <c r="R7" i="13"/>
  <c r="R6" i="13"/>
  <c r="R5" i="13"/>
  <c r="R4" i="13"/>
  <c r="R3" i="13"/>
  <c r="S4" i="14"/>
  <c r="S5" i="14"/>
  <c r="S6" i="14"/>
  <c r="S7" i="14"/>
  <c r="S8" i="14"/>
  <c r="S9" i="14"/>
  <c r="S10" i="14"/>
  <c r="S11" i="14"/>
  <c r="S12" i="14"/>
  <c r="S13" i="14"/>
  <c r="S14" i="14"/>
  <c r="S3" i="14"/>
  <c r="X11" i="13" l="1"/>
  <c r="L23" i="16" l="1"/>
  <c r="L22" i="16"/>
  <c r="L21" i="16"/>
  <c r="L20" i="16"/>
  <c r="L19" i="16"/>
  <c r="V4" i="15" l="1"/>
  <c r="V5" i="15"/>
  <c r="V6" i="15"/>
  <c r="V7" i="15"/>
  <c r="V8" i="15"/>
  <c r="V9" i="15"/>
  <c r="V10" i="15"/>
  <c r="V11" i="15"/>
  <c r="V12" i="15"/>
  <c r="V13" i="15"/>
  <c r="V14" i="15"/>
  <c r="W4" i="14"/>
  <c r="W5" i="14"/>
  <c r="W6" i="14"/>
  <c r="W7" i="14"/>
  <c r="W8" i="14"/>
  <c r="W9" i="14"/>
  <c r="W10" i="14"/>
  <c r="W11" i="14"/>
  <c r="W12" i="14"/>
  <c r="W13" i="14"/>
  <c r="W14" i="14"/>
  <c r="W3" i="14"/>
  <c r="X4" i="16"/>
  <c r="X5" i="16"/>
  <c r="X6" i="16"/>
  <c r="X7" i="16"/>
  <c r="X8" i="16"/>
  <c r="X9" i="16"/>
  <c r="X10" i="16"/>
  <c r="X11" i="16"/>
  <c r="X12" i="16"/>
  <c r="X14" i="16"/>
  <c r="V4" i="13"/>
  <c r="V5" i="13"/>
  <c r="V6" i="13"/>
  <c r="V7" i="13"/>
  <c r="V8" i="13"/>
  <c r="V9" i="13"/>
  <c r="V10" i="13"/>
  <c r="V11" i="13"/>
  <c r="V12" i="13"/>
  <c r="V13" i="13"/>
  <c r="V14" i="13"/>
  <c r="V3" i="13"/>
  <c r="X3" i="14"/>
  <c r="X4" i="14"/>
  <c r="X5" i="14"/>
  <c r="X6" i="14"/>
  <c r="X7" i="14"/>
  <c r="X8" i="14"/>
  <c r="X9" i="14"/>
  <c r="X10" i="14"/>
  <c r="X11" i="14"/>
  <c r="X12" i="14"/>
  <c r="AA4" i="14" l="1"/>
  <c r="AA5" i="14"/>
  <c r="AA6" i="14"/>
  <c r="AA7" i="14"/>
  <c r="AA8" i="14"/>
  <c r="AA9" i="14"/>
  <c r="AA10" i="14"/>
  <c r="AA11" i="14"/>
  <c r="AA12" i="14"/>
  <c r="AA13" i="14"/>
  <c r="AA14" i="14"/>
  <c r="AA3" i="14"/>
  <c r="AB3" i="14" l="1"/>
  <c r="AB4" i="14" l="1"/>
  <c r="AB5" i="14"/>
  <c r="AB6" i="14"/>
  <c r="AB7" i="14"/>
  <c r="AB8" i="14"/>
  <c r="AB9" i="14"/>
  <c r="AB10" i="14"/>
  <c r="AB11" i="14"/>
  <c r="AB12" i="14"/>
  <c r="AB13" i="14" l="1"/>
  <c r="AB14" i="14"/>
  <c r="AA3" i="16" l="1"/>
  <c r="AB3" i="16" s="1"/>
  <c r="Y14" i="15" l="1"/>
  <c r="Z14" i="15" s="1"/>
  <c r="Y14" i="13"/>
  <c r="Z14" i="13" s="1"/>
  <c r="AA14" i="16" l="1"/>
  <c r="AB14" i="16" s="1"/>
  <c r="X14" i="14"/>
  <c r="AA6" i="16" l="1"/>
  <c r="AB6" i="16" s="1"/>
  <c r="AA7" i="16"/>
  <c r="AB7" i="16" s="1"/>
  <c r="Y10" i="13" l="1"/>
  <c r="Z10" i="13" s="1"/>
  <c r="AA13" i="16" l="1"/>
  <c r="AA4" i="16"/>
  <c r="AB4" i="16" s="1"/>
  <c r="AA5" i="16"/>
  <c r="AB5" i="16" s="1"/>
  <c r="AA8" i="16"/>
  <c r="AB8" i="16" s="1"/>
  <c r="AA9" i="16"/>
  <c r="AB9" i="16" s="1"/>
  <c r="AA10" i="16"/>
  <c r="AB10" i="16" s="1"/>
  <c r="AA11" i="16"/>
  <c r="AB11" i="16" s="1"/>
  <c r="AA12" i="16"/>
  <c r="AB12" i="16" s="1"/>
  <c r="AB13" i="16" l="1"/>
  <c r="X13" i="14" l="1"/>
  <c r="Y13" i="13" l="1"/>
  <c r="Z13" i="13" s="1"/>
  <c r="Y12" i="13"/>
  <c r="Z12" i="13" s="1"/>
  <c r="Y3" i="13"/>
  <c r="Z3" i="13" s="1"/>
  <c r="Y9" i="13"/>
  <c r="Z9" i="13" s="1"/>
  <c r="Y4" i="13"/>
  <c r="Z4" i="13" s="1"/>
  <c r="Y5" i="13"/>
  <c r="Z5" i="13" s="1"/>
  <c r="Y6" i="13"/>
  <c r="Z6" i="13" s="1"/>
  <c r="Y7" i="13"/>
  <c r="Z7" i="13" s="1"/>
  <c r="Y8" i="13"/>
  <c r="Z8" i="13" s="1"/>
  <c r="Y11" i="13"/>
  <c r="Z11" i="13" s="1"/>
  <c r="AA11" i="13" s="1"/>
  <c r="Y11" i="15" l="1"/>
  <c r="Z11" i="15" s="1"/>
  <c r="Y13" i="15"/>
  <c r="Z13" i="15" s="1"/>
  <c r="Y12" i="15"/>
  <c r="Z12" i="15" s="1"/>
  <c r="Y4" i="15"/>
  <c r="Z4" i="15" s="1"/>
  <c r="Y9" i="15"/>
  <c r="Z9" i="15" s="1"/>
  <c r="Y3" i="15"/>
  <c r="Y6" i="15"/>
  <c r="Z6" i="15" s="1"/>
  <c r="Y8" i="15"/>
  <c r="Z8" i="15" s="1"/>
  <c r="Y7" i="15"/>
  <c r="Z7" i="15" s="1"/>
  <c r="Y10" i="15"/>
  <c r="Z10" i="15" s="1"/>
  <c r="Y5" i="15"/>
  <c r="Z5" i="15" s="1"/>
  <c r="Z3" i="15" l="1"/>
  <c r="N6" i="27" l="1"/>
  <c r="N5" i="27" l="1"/>
  <c r="C6" i="27" l="1"/>
  <c r="C5" i="27" l="1"/>
  <c r="D6" i="27" l="1"/>
  <c r="H20" i="16" l="1"/>
  <c r="D5" i="27" l="1"/>
  <c r="K16" i="27" l="1"/>
  <c r="K13" i="27"/>
  <c r="K12" i="27" l="1"/>
  <c r="L16" i="27" l="1"/>
  <c r="L13" i="27"/>
  <c r="L12" i="27" l="1"/>
  <c r="M16" i="27" l="1"/>
  <c r="M13" i="27"/>
  <c r="M12" i="27" l="1"/>
  <c r="K30" i="27" l="1"/>
  <c r="K29" i="27"/>
  <c r="U12" i="13" l="1"/>
  <c r="W28" i="13" s="1"/>
  <c r="X28" i="13" s="1"/>
  <c r="Y28" i="13" l="1"/>
  <c r="Z28" i="13" s="1"/>
  <c r="AA28" i="13" s="1"/>
  <c r="X12" i="13" s="1"/>
  <c r="AA12" i="13" s="1"/>
  <c r="T12" i="13" s="1"/>
  <c r="S13" i="13" s="1"/>
  <c r="K28" i="27"/>
  <c r="L30" i="27" l="1"/>
  <c r="L32" i="27"/>
  <c r="L29" i="27"/>
  <c r="R29" i="13" a="1"/>
  <c r="R29" i="13" s="1"/>
  <c r="S29" i="13" s="1"/>
  <c r="T29" i="13" l="1"/>
  <c r="U29" i="13" s="1"/>
  <c r="V29" i="13"/>
  <c r="U13" i="13" l="1"/>
  <c r="W29" i="13" s="1"/>
  <c r="X29" i="13" s="1"/>
  <c r="Y29" i="13" l="1"/>
  <c r="Z29" i="13" s="1"/>
  <c r="AA29" i="13" s="1"/>
  <c r="X13" i="13" s="1"/>
  <c r="AA13" i="13" s="1"/>
  <c r="T13" i="13" s="1"/>
  <c r="S14" i="13" s="1"/>
  <c r="L28" i="27" l="1"/>
  <c r="M30" i="27"/>
  <c r="M32" i="27"/>
  <c r="M29" i="27"/>
  <c r="R30" i="13" a="1"/>
  <c r="R30" i="13" s="1"/>
  <c r="S30" i="13" s="1"/>
  <c r="T30" i="13" l="1"/>
  <c r="U30" i="13" s="1"/>
  <c r="V30" i="13"/>
  <c r="U14" i="13" l="1"/>
  <c r="M28" i="27" s="1"/>
  <c r="W30" i="13" l="1"/>
  <c r="X30" i="13" s="1"/>
  <c r="Y30" i="13"/>
  <c r="Z30" i="13" s="1"/>
  <c r="AA30" i="13" l="1"/>
  <c r="X14" i="13" s="1"/>
  <c r="AA14" i="13" s="1"/>
  <c r="T14" i="13" s="1"/>
  <c r="S3" i="13" s="1"/>
  <c r="N29" i="27" s="1"/>
  <c r="R19" i="13" l="1" a="1"/>
  <c r="R19" i="13" s="1"/>
  <c r="S19" i="13" s="1"/>
  <c r="T19" i="13" s="1"/>
  <c r="U19" i="13" s="1"/>
  <c r="N30" i="27"/>
  <c r="N32" i="27"/>
  <c r="V19" i="13" l="1"/>
  <c r="U3" i="13" s="1"/>
  <c r="W19" i="13" l="1"/>
  <c r="X19" i="13" s="1"/>
  <c r="Y19" i="13"/>
  <c r="Z19" i="13" s="1"/>
  <c r="N28" i="27" l="1"/>
  <c r="AA19" i="13"/>
  <c r="X3" i="13" s="1"/>
  <c r="AA3" i="13" s="1"/>
  <c r="T3" i="13" s="1"/>
  <c r="S4" i="13" s="1"/>
  <c r="C29" i="27" s="1"/>
  <c r="C32" i="27" l="1"/>
  <c r="R20" i="13" a="1"/>
  <c r="R20" i="13" s="1"/>
  <c r="S20" i="13" s="1"/>
  <c r="T20" i="13" s="1"/>
  <c r="U20" i="13" s="1"/>
  <c r="C30" i="27"/>
  <c r="V20" i="13" l="1"/>
  <c r="U4" i="13" s="1"/>
  <c r="W20" i="13" s="1"/>
  <c r="X20" i="13" s="1"/>
  <c r="C28" i="27" l="1"/>
  <c r="Y20" i="13"/>
  <c r="Z20" i="13" s="1"/>
  <c r="AA20" i="13" s="1"/>
  <c r="X4" i="13" s="1"/>
  <c r="AA4" i="13" s="1"/>
  <c r="T4" i="13" s="1"/>
  <c r="S5" i="13" s="1"/>
  <c r="R21" i="13" l="1" a="1"/>
  <c r="R21" i="13" s="1"/>
  <c r="S21" i="13" s="1"/>
  <c r="D30" i="27"/>
  <c r="D32" i="27"/>
  <c r="D29" i="27"/>
  <c r="T21" i="13" l="1"/>
  <c r="U21" i="13" s="1"/>
  <c r="V21" i="13"/>
  <c r="U5" i="13" l="1"/>
  <c r="W21" i="13" l="1"/>
  <c r="X21" i="13" s="1"/>
  <c r="H20" i="13"/>
  <c r="Y21" i="13"/>
  <c r="Z21" i="13" s="1"/>
  <c r="AA21" i="13" s="1"/>
  <c r="X5" i="13" s="1"/>
  <c r="AA5" i="13" s="1"/>
  <c r="T5" i="13" s="1"/>
  <c r="S6" i="13" s="1"/>
  <c r="K21" i="27"/>
  <c r="K24" i="27"/>
  <c r="R22" i="13" l="1" a="1"/>
  <c r="R22" i="13" s="1"/>
  <c r="S22" i="13" s="1"/>
  <c r="T22" i="13" s="1"/>
  <c r="U22" i="13" s="1"/>
  <c r="F5" i="13"/>
  <c r="E30" i="27" s="1"/>
  <c r="H5" i="13"/>
  <c r="E32" i="27" s="1"/>
  <c r="E5" i="13"/>
  <c r="E29" i="27" s="1"/>
  <c r="D28" i="27"/>
  <c r="V22" i="13" l="1"/>
  <c r="U6" i="13" s="1"/>
  <c r="U12" i="15"/>
  <c r="W28" i="15" s="1"/>
  <c r="X28" i="15" s="1"/>
  <c r="W22" i="13" l="1"/>
  <c r="X22" i="13" s="1"/>
  <c r="D5" i="13"/>
  <c r="H21" i="13" s="1"/>
  <c r="Y22" i="13"/>
  <c r="Z22" i="13" s="1"/>
  <c r="AA22" i="13" s="1"/>
  <c r="X6" i="13" s="1"/>
  <c r="AA6" i="13" s="1"/>
  <c r="T6" i="13" s="1"/>
  <c r="S7" i="13" s="1"/>
  <c r="Y28" i="15"/>
  <c r="Z28" i="15" s="1"/>
  <c r="AA28" i="15" s="1"/>
  <c r="X12" i="15" s="1"/>
  <c r="AA12" i="15" s="1"/>
  <c r="T12" i="15" s="1"/>
  <c r="S13" i="15" s="1"/>
  <c r="R23" i="13" l="1" a="1"/>
  <c r="R23" i="13" s="1"/>
  <c r="S23" i="13" s="1"/>
  <c r="V23" i="13" s="1"/>
  <c r="F6" i="13"/>
  <c r="F30" i="27" s="1"/>
  <c r="H6" i="13"/>
  <c r="F32" i="27" s="1"/>
  <c r="E6" i="13"/>
  <c r="F29" i="27" s="1"/>
  <c r="G5" i="13"/>
  <c r="E28" i="27"/>
  <c r="L21" i="27"/>
  <c r="L24" i="27"/>
  <c r="K20" i="27"/>
  <c r="L22" i="27"/>
  <c r="R29" i="15" a="1"/>
  <c r="R29" i="15" s="1"/>
  <c r="S29" i="15" s="1"/>
  <c r="T29" i="15" s="1"/>
  <c r="T23" i="13" l="1"/>
  <c r="U23" i="13" s="1"/>
  <c r="V29" i="15"/>
  <c r="U29" i="15"/>
  <c r="U7" i="13" l="1"/>
  <c r="W23" i="13" s="1"/>
  <c r="X23" i="13" s="1"/>
  <c r="U13" i="15"/>
  <c r="W29" i="15" s="1"/>
  <c r="X29" i="15" s="1"/>
  <c r="D6" i="13" l="1"/>
  <c r="H22" i="13" s="1"/>
  <c r="Y23" i="13"/>
  <c r="Z23" i="13" s="1"/>
  <c r="AA23" i="13" s="1"/>
  <c r="X7" i="13" s="1"/>
  <c r="AA7" i="13" s="1"/>
  <c r="T7" i="13" s="1"/>
  <c r="S8" i="13" s="1"/>
  <c r="R24" i="13" s="1" a="1"/>
  <c r="R24" i="13" s="1"/>
  <c r="S24" i="13" s="1"/>
  <c r="T24" i="13" s="1"/>
  <c r="U24" i="13" s="1"/>
  <c r="G6" i="13"/>
  <c r="Y29" i="15"/>
  <c r="Z29" i="15" s="1"/>
  <c r="AA29" i="15" s="1"/>
  <c r="X13" i="15" s="1"/>
  <c r="AA13" i="15" s="1"/>
  <c r="T13" i="15" s="1"/>
  <c r="S14" i="15" s="1"/>
  <c r="M21" i="27" s="1"/>
  <c r="F28" i="27" l="1"/>
  <c r="E7" i="13"/>
  <c r="G29" i="27" s="1"/>
  <c r="F7" i="13"/>
  <c r="G30" i="27" s="1"/>
  <c r="H7" i="13"/>
  <c r="G32" i="27" s="1"/>
  <c r="V24" i="13"/>
  <c r="U8" i="13" s="1"/>
  <c r="L20" i="27"/>
  <c r="R30" i="15" a="1"/>
  <c r="R30" i="15" s="1"/>
  <c r="S30" i="15" s="1"/>
  <c r="T30" i="15" s="1"/>
  <c r="M22" i="27"/>
  <c r="M24" i="27"/>
  <c r="W24" i="13" l="1"/>
  <c r="X24" i="13" s="1"/>
  <c r="D7" i="13"/>
  <c r="Y24" i="13"/>
  <c r="Z24" i="13" s="1"/>
  <c r="V30" i="15"/>
  <c r="U30" i="15"/>
  <c r="AA24" i="13" l="1"/>
  <c r="X8" i="13" s="1"/>
  <c r="AA8" i="13" s="1"/>
  <c r="T8" i="13" s="1"/>
  <c r="S9" i="13" s="1"/>
  <c r="G7" i="13"/>
  <c r="H23" i="13"/>
  <c r="G28" i="27"/>
  <c r="U14" i="15"/>
  <c r="W30" i="15" s="1"/>
  <c r="X30" i="15" s="1"/>
  <c r="R25" i="13" l="1" a="1"/>
  <c r="R25" i="13" s="1"/>
  <c r="S25" i="13" s="1"/>
  <c r="T25" i="13" s="1"/>
  <c r="U25" i="13" s="1"/>
  <c r="F8" i="13"/>
  <c r="H30" i="27" s="1"/>
  <c r="H8" i="13"/>
  <c r="H32" i="27" s="1"/>
  <c r="E8" i="13"/>
  <c r="H29" i="27" s="1"/>
  <c r="Y30" i="15"/>
  <c r="Z30" i="15" s="1"/>
  <c r="AA30" i="15" s="1"/>
  <c r="X14" i="15" s="1"/>
  <c r="AA14" i="15" s="1"/>
  <c r="T14" i="15" s="1"/>
  <c r="S3" i="15" s="1"/>
  <c r="N24" i="27" s="1"/>
  <c r="V25" i="13" l="1"/>
  <c r="U9" i="13" s="1"/>
  <c r="M20" i="27"/>
  <c r="R19" i="15" a="1"/>
  <c r="R19" i="15" s="1"/>
  <c r="S19" i="15" s="1"/>
  <c r="T19" i="15" s="1"/>
  <c r="N21" i="27"/>
  <c r="N22" i="27"/>
  <c r="D8" i="13" l="1"/>
  <c r="W25" i="13"/>
  <c r="X25" i="13" s="1"/>
  <c r="Y25" i="13"/>
  <c r="Z25" i="13" s="1"/>
  <c r="V19" i="15"/>
  <c r="U19" i="15"/>
  <c r="AA25" i="13" l="1"/>
  <c r="X9" i="13" s="1"/>
  <c r="AA9" i="13" s="1"/>
  <c r="T9" i="13" s="1"/>
  <c r="S10" i="13" s="1"/>
  <c r="G8" i="13"/>
  <c r="H24" i="13"/>
  <c r="H28" i="27"/>
  <c r="U3" i="15"/>
  <c r="W19" i="15" s="1"/>
  <c r="X19" i="15" s="1"/>
  <c r="R26" i="13" l="1" a="1"/>
  <c r="R26" i="13" s="1"/>
  <c r="S26" i="13" s="1"/>
  <c r="T26" i="13" s="1"/>
  <c r="U26" i="13" s="1"/>
  <c r="F9" i="13"/>
  <c r="I30" i="27" s="1"/>
  <c r="H9" i="13"/>
  <c r="I32" i="27" s="1"/>
  <c r="E9" i="13"/>
  <c r="I29" i="27" s="1"/>
  <c r="Y19" i="15"/>
  <c r="Z19" i="15" s="1"/>
  <c r="AA19" i="15" s="1"/>
  <c r="X3" i="15" s="1"/>
  <c r="AA3" i="15" s="1"/>
  <c r="T3" i="15" s="1"/>
  <c r="S4" i="15" s="1"/>
  <c r="C21" i="27" s="1"/>
  <c r="V26" i="13" l="1"/>
  <c r="U10" i="13" s="1"/>
  <c r="N20" i="27"/>
  <c r="R20" i="15" a="1"/>
  <c r="R20" i="15" s="1"/>
  <c r="S20" i="15" s="1"/>
  <c r="V20" i="15" s="1"/>
  <c r="C24" i="27"/>
  <c r="C22" i="27"/>
  <c r="W26" i="13" l="1"/>
  <c r="X26" i="13" s="1"/>
  <c r="D9" i="13"/>
  <c r="H25" i="13" s="1"/>
  <c r="Y26" i="13"/>
  <c r="Z26" i="13" s="1"/>
  <c r="AA26" i="13" s="1"/>
  <c r="X10" i="13" s="1"/>
  <c r="AA10" i="13" s="1"/>
  <c r="T10" i="13" s="1"/>
  <c r="S11" i="13" s="1"/>
  <c r="T20" i="15"/>
  <c r="U20" i="15" s="1"/>
  <c r="U4" i="15" s="1"/>
  <c r="C20" i="27" s="1"/>
  <c r="F10" i="13" l="1"/>
  <c r="J30" i="27" s="1"/>
  <c r="H10" i="13"/>
  <c r="J32" i="27" s="1"/>
  <c r="E10" i="13"/>
  <c r="J29" i="27" s="1"/>
  <c r="T11" i="13"/>
  <c r="S12" i="13" s="1"/>
  <c r="R27" i="13" a="1"/>
  <c r="R27" i="13" s="1"/>
  <c r="S27" i="13" s="1"/>
  <c r="G9" i="13"/>
  <c r="I28" i="27"/>
  <c r="W20" i="15"/>
  <c r="X20" i="15" s="1"/>
  <c r="Y20" i="15"/>
  <c r="Z20" i="15" s="1"/>
  <c r="V27" i="13" l="1"/>
  <c r="T27" i="13"/>
  <c r="U27" i="13" s="1"/>
  <c r="K32" i="27"/>
  <c r="R28" i="13" a="1"/>
  <c r="R28" i="13" s="1"/>
  <c r="S28" i="13" s="1"/>
  <c r="AA20" i="15"/>
  <c r="X4" i="15" s="1"/>
  <c r="AA4" i="15" s="1"/>
  <c r="T4" i="15" s="1"/>
  <c r="S5" i="15" s="1"/>
  <c r="U11" i="13" l="1"/>
  <c r="D10" i="13" s="1"/>
  <c r="V28" i="13"/>
  <c r="T28" i="13"/>
  <c r="U28" i="13" s="1"/>
  <c r="R21" i="15" a="1"/>
  <c r="R21" i="15" s="1"/>
  <c r="S21" i="15" s="1"/>
  <c r="D22" i="27"/>
  <c r="D24" i="27"/>
  <c r="D21" i="27"/>
  <c r="Y27" i="13" l="1"/>
  <c r="Z27" i="13" s="1"/>
  <c r="G10" i="13"/>
  <c r="J28" i="27"/>
  <c r="W27" i="13"/>
  <c r="X27" i="13" s="1"/>
  <c r="V21" i="15"/>
  <c r="T21" i="15"/>
  <c r="U21" i="15" l="1"/>
  <c r="U5" i="15" s="1"/>
  <c r="H20" i="15" l="1"/>
  <c r="Y21" i="15"/>
  <c r="Z21" i="15" s="1"/>
  <c r="W21" i="15"/>
  <c r="X21" i="15" s="1"/>
  <c r="AA21" i="15" l="1"/>
  <c r="X5" i="15" s="1"/>
  <c r="AA5" i="15" s="1"/>
  <c r="T5" i="15" s="1"/>
  <c r="S6" i="15" s="1"/>
  <c r="D20" i="27"/>
  <c r="R22" i="15" l="1" a="1"/>
  <c r="R22" i="15" s="1"/>
  <c r="S22" i="15" s="1"/>
  <c r="F5" i="15"/>
  <c r="E22" i="27" s="1"/>
  <c r="H5" i="15"/>
  <c r="E24" i="27" s="1"/>
  <c r="E5" i="15"/>
  <c r="E21" i="27" s="1"/>
  <c r="T22" i="15" l="1"/>
  <c r="V22" i="15"/>
  <c r="U22" i="15" l="1"/>
  <c r="U6" i="15" s="1"/>
  <c r="D5" i="15" l="1"/>
  <c r="H21" i="15" s="1"/>
  <c r="W22" i="15"/>
  <c r="X22" i="15" s="1"/>
  <c r="Y22" i="15"/>
  <c r="Z22" i="15" s="1"/>
  <c r="AA22" i="15" l="1"/>
  <c r="X6" i="15" s="1"/>
  <c r="AA6" i="15" s="1"/>
  <c r="T6" i="15" s="1"/>
  <c r="S7" i="15" s="1"/>
  <c r="G5" i="15"/>
  <c r="E20" i="27"/>
  <c r="R23" i="15" l="1" a="1"/>
  <c r="R23" i="15" s="1"/>
  <c r="S23" i="15" s="1"/>
  <c r="E6" i="15"/>
  <c r="F21" i="27" s="1"/>
  <c r="F6" i="15"/>
  <c r="F22" i="27" s="1"/>
  <c r="H6" i="15"/>
  <c r="F24" i="27" s="1"/>
  <c r="V23" i="15" l="1"/>
  <c r="T23" i="15"/>
  <c r="U23" i="15" l="1"/>
  <c r="U7" i="15" s="1"/>
  <c r="D6" i="15" l="1"/>
  <c r="H22" i="15" s="1"/>
  <c r="W23" i="15"/>
  <c r="X23" i="15" s="1"/>
  <c r="Y23" i="15"/>
  <c r="Z23" i="15" s="1"/>
  <c r="AA23" i="15" l="1"/>
  <c r="X7" i="15" s="1"/>
  <c r="AA7" i="15" s="1"/>
  <c r="T7" i="15" s="1"/>
  <c r="S8" i="15" s="1"/>
  <c r="G6" i="15"/>
  <c r="F20" i="27"/>
  <c r="R24" i="15" l="1" a="1"/>
  <c r="R24" i="15" s="1"/>
  <c r="S24" i="15" s="1"/>
  <c r="F7" i="15"/>
  <c r="G22" i="27" s="1"/>
  <c r="H7" i="15"/>
  <c r="G24" i="27" s="1"/>
  <c r="E7" i="15"/>
  <c r="G21" i="27" s="1"/>
  <c r="U13" i="14"/>
  <c r="T14" i="14" s="1"/>
  <c r="T30" i="14" s="1" a="1"/>
  <c r="T30" i="14" s="1"/>
  <c r="V14" i="14"/>
  <c r="Y30" i="14" s="1"/>
  <c r="Z30" i="14" s="1"/>
  <c r="V13" i="14"/>
  <c r="U12" i="14"/>
  <c r="T13" i="14" s="1"/>
  <c r="T29" i="14" s="1" a="1"/>
  <c r="T29" i="14" s="1"/>
  <c r="V12" i="14"/>
  <c r="U11" i="14"/>
  <c r="T12" i="14" s="1"/>
  <c r="T28" i="14" s="1" a="1"/>
  <c r="T28" i="14" s="1"/>
  <c r="AA30" i="14" l="1"/>
  <c r="AB30" i="14" s="1"/>
  <c r="U29" i="14"/>
  <c r="V29" i="14" s="1"/>
  <c r="W29" i="14" s="1"/>
  <c r="U30" i="14"/>
  <c r="V30" i="14" s="1"/>
  <c r="W30" i="14" s="1"/>
  <c r="U28" i="14"/>
  <c r="X28" i="14" s="1"/>
  <c r="AC30" i="14"/>
  <c r="Z14" i="14" s="1"/>
  <c r="AC14" i="14" s="1"/>
  <c r="U14" i="14" s="1"/>
  <c r="T3" i="14" s="1"/>
  <c r="V28" i="14"/>
  <c r="W28" i="14" s="1"/>
  <c r="Y28" i="14"/>
  <c r="Z28" i="14" s="1"/>
  <c r="AA28" i="14"/>
  <c r="AB28" i="14" s="1"/>
  <c r="Y29" i="14"/>
  <c r="Z29" i="14" s="1"/>
  <c r="AA29" i="14"/>
  <c r="AB29" i="14" s="1"/>
  <c r="V24" i="15"/>
  <c r="T24" i="15"/>
  <c r="X29" i="14" l="1"/>
  <c r="X30" i="14"/>
  <c r="AC29" i="14"/>
  <c r="Z13" i="14" s="1"/>
  <c r="AC13" i="14" s="1"/>
  <c r="AC28" i="14"/>
  <c r="Z12" i="14" s="1"/>
  <c r="AC12" i="14" s="1"/>
  <c r="T19" i="14" a="1"/>
  <c r="T19" i="14" s="1"/>
  <c r="U19" i="14" s="1"/>
  <c r="N13" i="27"/>
  <c r="N16" i="27"/>
  <c r="U24" i="15"/>
  <c r="U8" i="15" s="1"/>
  <c r="V19" i="14" l="1"/>
  <c r="X19" i="14"/>
  <c r="D7" i="15"/>
  <c r="H23" i="15" s="1"/>
  <c r="W24" i="15"/>
  <c r="X24" i="15" s="1"/>
  <c r="Y24" i="15"/>
  <c r="Z24" i="15" s="1"/>
  <c r="W19" i="14" l="1"/>
  <c r="V3" i="14" s="1"/>
  <c r="G7" i="15"/>
  <c r="G20" i="27"/>
  <c r="AA24" i="15"/>
  <c r="X8" i="15" s="1"/>
  <c r="AA8" i="15" s="1"/>
  <c r="T8" i="15" s="1"/>
  <c r="S9" i="15" s="1"/>
  <c r="R25" i="15" l="1" a="1"/>
  <c r="R25" i="15" s="1"/>
  <c r="S25" i="15" s="1"/>
  <c r="E8" i="15"/>
  <c r="H21" i="27" s="1"/>
  <c r="F8" i="15"/>
  <c r="H22" i="27" s="1"/>
  <c r="H8" i="15"/>
  <c r="H24" i="27" s="1"/>
  <c r="Y19" i="14"/>
  <c r="Z19" i="14" s="1"/>
  <c r="AA19" i="14"/>
  <c r="AB19" i="14" s="1"/>
  <c r="T25" i="15" l="1"/>
  <c r="V25" i="15"/>
  <c r="AC19" i="14"/>
  <c r="Z3" i="14" s="1"/>
  <c r="AC3" i="14" s="1"/>
  <c r="U3" i="14" s="1"/>
  <c r="T4" i="14" s="1"/>
  <c r="N12" i="27"/>
  <c r="U25" i="15" l="1"/>
  <c r="U9" i="15" s="1"/>
  <c r="T20" i="14" a="1"/>
  <c r="T20" i="14" s="1"/>
  <c r="U20" i="14" s="1"/>
  <c r="C13" i="27"/>
  <c r="C16" i="27"/>
  <c r="D8" i="15" l="1"/>
  <c r="Y25" i="15"/>
  <c r="Z25" i="15" s="1"/>
  <c r="W25" i="15"/>
  <c r="X25" i="15" s="1"/>
  <c r="V20" i="14"/>
  <c r="X20" i="14"/>
  <c r="AA25" i="15" l="1"/>
  <c r="X9" i="15" s="1"/>
  <c r="AA9" i="15" s="1"/>
  <c r="T9" i="15" s="1"/>
  <c r="S10" i="15" s="1"/>
  <c r="G8" i="15"/>
  <c r="H24" i="15"/>
  <c r="H20" i="27"/>
  <c r="W20" i="14"/>
  <c r="V4" i="14" s="1"/>
  <c r="R26" i="15" l="1" a="1"/>
  <c r="R26" i="15" s="1"/>
  <c r="S26" i="15" s="1"/>
  <c r="F9" i="15"/>
  <c r="I22" i="27" s="1"/>
  <c r="H9" i="15"/>
  <c r="I24" i="27" s="1"/>
  <c r="E9" i="15"/>
  <c r="I21" i="27" s="1"/>
  <c r="Y20" i="14"/>
  <c r="Z20" i="14" s="1"/>
  <c r="AA20" i="14"/>
  <c r="AB20" i="14" s="1"/>
  <c r="V26" i="15" l="1"/>
  <c r="T26" i="15"/>
  <c r="AC20" i="14"/>
  <c r="Z4" i="14" s="1"/>
  <c r="AC4" i="14" s="1"/>
  <c r="U4" i="14" s="1"/>
  <c r="T5" i="14" s="1"/>
  <c r="C12" i="27"/>
  <c r="U26" i="15" l="1"/>
  <c r="U10" i="15" s="1"/>
  <c r="T21" i="14" a="1"/>
  <c r="T21" i="14" s="1"/>
  <c r="U21" i="14" s="1"/>
  <c r="D13" i="27"/>
  <c r="D16" i="27"/>
  <c r="D9" i="15" l="1"/>
  <c r="H25" i="15" s="1"/>
  <c r="Y26" i="15"/>
  <c r="Z26" i="15" s="1"/>
  <c r="W26" i="15"/>
  <c r="X26" i="15" s="1"/>
  <c r="V21" i="14"/>
  <c r="X21" i="14"/>
  <c r="AA26" i="15" l="1"/>
  <c r="X10" i="15" s="1"/>
  <c r="AA10" i="15" s="1"/>
  <c r="T10" i="15" s="1"/>
  <c r="S11" i="15" s="1"/>
  <c r="G9" i="15"/>
  <c r="I20" i="27"/>
  <c r="W21" i="14"/>
  <c r="V5" i="14" s="1"/>
  <c r="E10" i="15" l="1"/>
  <c r="J21" i="27" s="1"/>
  <c r="F10" i="15"/>
  <c r="J22" i="27" s="1"/>
  <c r="H10" i="15"/>
  <c r="J24" i="27" s="1"/>
  <c r="R27" i="15" a="1"/>
  <c r="R27" i="15" s="1"/>
  <c r="S27" i="15" s="1"/>
  <c r="Y21" i="14"/>
  <c r="Z21" i="14" s="1"/>
  <c r="AA21" i="14"/>
  <c r="AB21" i="14" s="1"/>
  <c r="V27" i="15" l="1"/>
  <c r="T27" i="15"/>
  <c r="U27" i="15" s="1"/>
  <c r="AC21" i="14"/>
  <c r="Z5" i="14" s="1"/>
  <c r="AC5" i="14" s="1"/>
  <c r="U5" i="14" s="1"/>
  <c r="T6" i="14" s="1"/>
  <c r="H20" i="14"/>
  <c r="D12" i="27"/>
  <c r="U11" i="15" l="1"/>
  <c r="D10" i="15" s="1"/>
  <c r="Y27" i="15"/>
  <c r="Z27" i="15" s="1"/>
  <c r="T22" i="14" a="1"/>
  <c r="T22" i="14" s="1"/>
  <c r="U22" i="14" s="1"/>
  <c r="H5" i="14"/>
  <c r="E16" i="27" s="1"/>
  <c r="G5" i="14"/>
  <c r="F5" i="14"/>
  <c r="E13" i="27" s="1"/>
  <c r="G10" i="15" l="1"/>
  <c r="J20" i="27"/>
  <c r="W27" i="15"/>
  <c r="X27" i="15" s="1"/>
  <c r="AA27" i="15" s="1"/>
  <c r="X11" i="15" s="1"/>
  <c r="AA11" i="15" s="1"/>
  <c r="T11" i="15" s="1"/>
  <c r="S12" i="15" s="1"/>
  <c r="V22" i="14"/>
  <c r="X22" i="14"/>
  <c r="K22" i="27" l="1"/>
  <c r="R28" i="15" a="1"/>
  <c r="R28" i="15" s="1"/>
  <c r="S28" i="15" s="1"/>
  <c r="W22" i="14"/>
  <c r="V6" i="14" s="1"/>
  <c r="T28" i="15" l="1"/>
  <c r="U28" i="15" s="1"/>
  <c r="V28" i="15"/>
  <c r="Y22" i="14"/>
  <c r="Z22" i="14" s="1"/>
  <c r="AA22" i="14"/>
  <c r="AB22" i="14" s="1"/>
  <c r="E5" i="14"/>
  <c r="AC22" i="14" l="1"/>
  <c r="Z6" i="14" s="1"/>
  <c r="AC6" i="14" s="1"/>
  <c r="U6" i="14" s="1"/>
  <c r="T7" i="14" s="1"/>
  <c r="T23" i="14" s="1" a="1"/>
  <c r="T23" i="14" s="1"/>
  <c r="U23" i="14" s="1"/>
  <c r="E12" i="27"/>
  <c r="H21" i="14"/>
  <c r="F6" i="14" l="1"/>
  <c r="F13" i="27" s="1"/>
  <c r="H6" i="14"/>
  <c r="F16" i="27" s="1"/>
  <c r="G6" i="14"/>
  <c r="V23" i="14"/>
  <c r="X23" i="14"/>
  <c r="W23" i="14" l="1"/>
  <c r="V7" i="14" s="1"/>
  <c r="Y23" i="14" l="1"/>
  <c r="Z23" i="14" s="1"/>
  <c r="AA23" i="14"/>
  <c r="AB23" i="14" s="1"/>
  <c r="E6" i="14"/>
  <c r="AC23" i="14" l="1"/>
  <c r="Z7" i="14" s="1"/>
  <c r="AC7" i="14" s="1"/>
  <c r="U7" i="14" s="1"/>
  <c r="T8" i="14" s="1"/>
  <c r="F12" i="27"/>
  <c r="H22" i="14"/>
  <c r="T24" i="14" l="1" a="1"/>
  <c r="T24" i="14" s="1"/>
  <c r="U24" i="14" s="1"/>
  <c r="V24" i="14" s="1"/>
  <c r="H7" i="14"/>
  <c r="G16" i="27" s="1"/>
  <c r="G7" i="14"/>
  <c r="F7" i="14"/>
  <c r="G13" i="27" s="1"/>
  <c r="X24" i="14" l="1"/>
  <c r="W24" i="14"/>
  <c r="V8" i="14" l="1"/>
  <c r="Y24" i="14" s="1"/>
  <c r="Z24" i="14" s="1"/>
  <c r="E7" i="14" l="1"/>
  <c r="AA24" i="14"/>
  <c r="AB24" i="14" s="1"/>
  <c r="AC24" i="14" s="1"/>
  <c r="Z8" i="14" s="1"/>
  <c r="AC8" i="14" s="1"/>
  <c r="U8" i="14" s="1"/>
  <c r="T9" i="14" s="1"/>
  <c r="H23" i="14"/>
  <c r="G12" i="27"/>
  <c r="T25" i="14" l="1" a="1"/>
  <c r="T25" i="14" s="1"/>
  <c r="U25" i="14" s="1"/>
  <c r="G8" i="14"/>
  <c r="F8" i="14"/>
  <c r="H13" i="27" s="1"/>
  <c r="H8" i="14"/>
  <c r="H16" i="27" s="1"/>
  <c r="X25" i="14" l="1"/>
  <c r="V25" i="14"/>
  <c r="W25" i="14" l="1"/>
  <c r="V9" i="14" s="1"/>
  <c r="E8" i="14" l="1"/>
  <c r="AA25" i="14"/>
  <c r="AB25" i="14" s="1"/>
  <c r="Y25" i="14"/>
  <c r="Z25" i="14" s="1"/>
  <c r="AC25" i="14" l="1"/>
  <c r="Z9" i="14" s="1"/>
  <c r="AC9" i="14" s="1"/>
  <c r="U9" i="14" s="1"/>
  <c r="T10" i="14" s="1"/>
  <c r="H24" i="14"/>
  <c r="H12" i="27"/>
  <c r="T26" i="14" l="1" a="1"/>
  <c r="T26" i="14" s="1"/>
  <c r="U26" i="14" s="1"/>
  <c r="G9" i="14"/>
  <c r="F9" i="14"/>
  <c r="I13" i="27" s="1"/>
  <c r="H9" i="14"/>
  <c r="I16" i="27" s="1"/>
  <c r="X26" i="14" l="1"/>
  <c r="V26" i="14"/>
  <c r="W26" i="14" l="1"/>
  <c r="V10" i="14" s="1"/>
  <c r="E9" i="14" l="1"/>
  <c r="AA26" i="14"/>
  <c r="AB26" i="14" s="1"/>
  <c r="Y26" i="14"/>
  <c r="Z26" i="14" s="1"/>
  <c r="I12" i="27" l="1"/>
  <c r="H25" i="14"/>
  <c r="AC26" i="14"/>
  <c r="Z10" i="14" s="1"/>
  <c r="AC10" i="14" s="1"/>
  <c r="U10" i="14" s="1"/>
  <c r="T11" i="14" s="1"/>
  <c r="T27" i="14" l="1" a="1"/>
  <c r="T27" i="14" s="1"/>
  <c r="U27" i="14" s="1"/>
  <c r="G10" i="14"/>
  <c r="F10" i="14"/>
  <c r="J13" i="27" s="1"/>
  <c r="H10" i="14"/>
  <c r="J16" i="27" s="1"/>
  <c r="V27" i="14" l="1"/>
  <c r="X27" i="14"/>
  <c r="W27" i="14" l="1"/>
  <c r="V11" i="14" s="1"/>
  <c r="E10" i="14" l="1"/>
  <c r="J12" i="27" s="1"/>
  <c r="AA27" i="14"/>
  <c r="AB27" i="14" s="1"/>
  <c r="Y27" i="14"/>
  <c r="Z27" i="14" s="1"/>
  <c r="AC27" i="14" l="1"/>
  <c r="Z11" i="14" s="1"/>
  <c r="AC11" i="14" s="1"/>
  <c r="V4" i="16"/>
  <c r="U5" i="16" s="1"/>
  <c r="W5" i="16"/>
  <c r="Y21" i="16" s="1"/>
  <c r="Z21" i="16" s="1"/>
  <c r="AC21" i="16" s="1"/>
  <c r="Z5" i="16" s="1"/>
  <c r="AC5" i="16" s="1"/>
  <c r="AA21" i="16"/>
  <c r="AB21" i="16" s="1"/>
  <c r="W4" i="16"/>
  <c r="V3" i="16"/>
  <c r="U4" i="16" s="1"/>
  <c r="T20" i="16" a="1"/>
  <c r="T20" i="16" s="1"/>
  <c r="U20" i="16" s="1"/>
  <c r="V11" i="16"/>
  <c r="U12" i="16" s="1"/>
  <c r="T28" i="16" s="1" a="1"/>
  <c r="T28" i="16" s="1"/>
  <c r="U28" i="16" s="1"/>
  <c r="W12" i="16"/>
  <c r="Y28" i="16" s="1"/>
  <c r="Z28" i="16" s="1"/>
  <c r="V12" i="16"/>
  <c r="U13" i="16" s="1"/>
  <c r="W13" i="16"/>
  <c r="Y29" i="16" s="1"/>
  <c r="Z29" i="16" s="1"/>
  <c r="V13" i="16"/>
  <c r="U14" i="16" s="1"/>
  <c r="W14" i="16"/>
  <c r="Y30" i="16" s="1"/>
  <c r="Z30" i="16" s="1"/>
  <c r="V14" i="16"/>
  <c r="U3" i="16" s="1"/>
  <c r="W3" i="16"/>
  <c r="Y19" i="16" s="1"/>
  <c r="Z19" i="16" s="1"/>
  <c r="M6" i="27"/>
  <c r="L6" i="27"/>
  <c r="K6" i="27"/>
  <c r="M5" i="27"/>
  <c r="L5" i="27"/>
  <c r="K5" i="27"/>
  <c r="T19" i="16" l="1" a="1"/>
  <c r="T19" i="16" s="1"/>
  <c r="U19" i="16" s="1"/>
  <c r="T30" i="16" a="1"/>
  <c r="T30" i="16" s="1"/>
  <c r="U30" i="16" s="1"/>
  <c r="T29" i="16" a="1"/>
  <c r="T29" i="16" s="1"/>
  <c r="U29" i="16" s="1"/>
  <c r="V28" i="16"/>
  <c r="W28" i="16" s="1"/>
  <c r="X28" i="16"/>
  <c r="V20" i="16"/>
  <c r="W20" i="16" s="1"/>
  <c r="X20" i="16"/>
  <c r="V5" i="16"/>
  <c r="U6" i="16" s="1"/>
  <c r="T21" i="16" a="1"/>
  <c r="T21" i="16" s="1"/>
  <c r="U21" i="16" s="1"/>
  <c r="AA19" i="16"/>
  <c r="AB19" i="16" s="1"/>
  <c r="AC19" i="16" s="1"/>
  <c r="Z3" i="16" s="1"/>
  <c r="AC3" i="16" s="1"/>
  <c r="AA30" i="16"/>
  <c r="AB30" i="16" s="1"/>
  <c r="AC30" i="16" s="1"/>
  <c r="Z14" i="16" s="1"/>
  <c r="AC14" i="16" s="1"/>
  <c r="AA29" i="16"/>
  <c r="AB29" i="16" s="1"/>
  <c r="AC29" i="16" s="1"/>
  <c r="Z13" i="16" s="1"/>
  <c r="AC13" i="16" s="1"/>
  <c r="AA28" i="16"/>
  <c r="AB28" i="16" s="1"/>
  <c r="AC28" i="16" s="1"/>
  <c r="Z12" i="16" s="1"/>
  <c r="AC12" i="16" s="1"/>
  <c r="Y20" i="16"/>
  <c r="Z20" i="16" s="1"/>
  <c r="AA20" i="16"/>
  <c r="AB20" i="16" s="1"/>
  <c r="X21" i="16" l="1"/>
  <c r="V21" i="16"/>
  <c r="W21" i="16" s="1"/>
  <c r="V29" i="16"/>
  <c r="W29" i="16" s="1"/>
  <c r="X29" i="16"/>
  <c r="V30" i="16"/>
  <c r="W30" i="16" s="1"/>
  <c r="X30" i="16"/>
  <c r="V19" i="16"/>
  <c r="W19" i="16" s="1"/>
  <c r="X19" i="16"/>
  <c r="AC20" i="16"/>
  <c r="Z4" i="16" s="1"/>
  <c r="AC4" i="16" s="1"/>
  <c r="T22" i="16" a="1"/>
  <c r="T22" i="16" s="1"/>
  <c r="U22" i="16" s="1"/>
  <c r="F5" i="16"/>
  <c r="E6" i="27" s="1"/>
  <c r="H5" i="16"/>
  <c r="I5" i="16" s="1"/>
  <c r="X22" i="16" l="1"/>
  <c r="V22" i="16"/>
  <c r="W22" i="16" l="1"/>
  <c r="W6" i="16" s="1"/>
  <c r="AA22" i="16" l="1"/>
  <c r="AB22" i="16" s="1"/>
  <c r="Y22" i="16"/>
  <c r="Z22" i="16" s="1"/>
  <c r="E5" i="16"/>
  <c r="AC22" i="16" l="1"/>
  <c r="Z6" i="16" s="1"/>
  <c r="AC6" i="16" s="1"/>
  <c r="V6" i="16" s="1"/>
  <c r="U7" i="16" s="1"/>
  <c r="T23" i="16" s="1" a="1"/>
  <c r="T23" i="16" s="1"/>
  <c r="U23" i="16" s="1"/>
  <c r="E5" i="27"/>
  <c r="H21" i="16"/>
  <c r="G5" i="16"/>
  <c r="F6" i="16" l="1"/>
  <c r="F6" i="27" s="1"/>
  <c r="H6" i="16"/>
  <c r="I6" i="16" s="1"/>
  <c r="X23" i="16"/>
  <c r="V23" i="16"/>
  <c r="W23" i="16" l="1"/>
  <c r="W7" i="16" s="1"/>
  <c r="AA23" i="16" l="1"/>
  <c r="AB23" i="16" s="1"/>
  <c r="E6" i="16"/>
  <c r="Y23" i="16"/>
  <c r="Z23" i="16" s="1"/>
  <c r="AC23" i="16" s="1"/>
  <c r="Z7" i="16" s="1"/>
  <c r="AC7" i="16" s="1"/>
  <c r="V7" i="16" s="1"/>
  <c r="U8" i="16" s="1"/>
  <c r="H22" i="16" l="1"/>
  <c r="G6" i="16"/>
  <c r="F5" i="27"/>
  <c r="T24" i="16" a="1"/>
  <c r="T24" i="16" s="1"/>
  <c r="U24" i="16" s="1"/>
  <c r="F7" i="16"/>
  <c r="G6" i="27" s="1"/>
  <c r="H7" i="16"/>
  <c r="I7" i="16" s="1"/>
  <c r="X24" i="16" l="1"/>
  <c r="V24" i="16"/>
  <c r="W24" i="16" l="1"/>
  <c r="W8" i="16" s="1"/>
  <c r="AA24" i="16" l="1"/>
  <c r="AB24" i="16" s="1"/>
  <c r="E7" i="16"/>
  <c r="Y24" i="16"/>
  <c r="Z24" i="16" s="1"/>
  <c r="AC24" i="16" s="1"/>
  <c r="Z8" i="16" s="1"/>
  <c r="AC8" i="16" s="1"/>
  <c r="V8" i="16" s="1"/>
  <c r="U9" i="16" s="1"/>
  <c r="G7" i="16" l="1"/>
  <c r="H23" i="16"/>
  <c r="G5" i="27"/>
  <c r="T25" i="16" a="1"/>
  <c r="T25" i="16" s="1"/>
  <c r="U25" i="16" s="1"/>
  <c r="H8" i="16"/>
  <c r="I8" i="16" s="1"/>
  <c r="F8" i="16"/>
  <c r="H6" i="27" s="1"/>
  <c r="X25" i="16" l="1"/>
  <c r="V25" i="16"/>
  <c r="W25" i="16" l="1"/>
  <c r="W9" i="16" s="1"/>
  <c r="E8" i="16" l="1"/>
  <c r="AA25" i="16"/>
  <c r="AB25" i="16" s="1"/>
  <c r="Y25" i="16"/>
  <c r="Z25" i="16" s="1"/>
  <c r="AC25" i="16" l="1"/>
  <c r="Z9" i="16" s="1"/>
  <c r="AC9" i="16" s="1"/>
  <c r="V9" i="16" s="1"/>
  <c r="U10" i="16" s="1"/>
  <c r="G8" i="16"/>
  <c r="H5" i="27"/>
  <c r="H24" i="16"/>
  <c r="T26" i="16" l="1" a="1"/>
  <c r="T26" i="16" s="1"/>
  <c r="U26" i="16" s="1"/>
  <c r="F9" i="16"/>
  <c r="I6" i="27" s="1"/>
  <c r="H9" i="16"/>
  <c r="I9" i="16" s="1"/>
  <c r="X26" i="16" l="1"/>
  <c r="V26" i="16"/>
  <c r="W26" i="16" l="1"/>
  <c r="W10" i="16" s="1"/>
  <c r="AA26" i="16" l="1"/>
  <c r="AB26" i="16" s="1"/>
  <c r="Y26" i="16"/>
  <c r="Z26" i="16" s="1"/>
  <c r="E9" i="16"/>
  <c r="AC26" i="16" l="1"/>
  <c r="Z10" i="16" s="1"/>
  <c r="AC10" i="16" s="1"/>
  <c r="V10" i="16" s="1"/>
  <c r="U11" i="16" s="1"/>
  <c r="I5" i="27"/>
  <c r="H25" i="16"/>
  <c r="G9" i="16"/>
  <c r="F10" i="16" l="1"/>
  <c r="J6" i="27" s="1"/>
  <c r="H10" i="16"/>
  <c r="T27" i="16" a="1"/>
  <c r="T27" i="16" s="1"/>
  <c r="U27" i="16" s="1"/>
  <c r="V27" i="16" l="1"/>
  <c r="X27" i="16"/>
  <c r="W27" i="16" l="1"/>
  <c r="W11" i="16" s="1"/>
  <c r="E10" i="16" l="1"/>
  <c r="AA27" i="16"/>
  <c r="AB27" i="16" s="1"/>
  <c r="Y27" i="16"/>
  <c r="Z27" i="16" s="1"/>
  <c r="G10" i="16" l="1"/>
  <c r="J5" i="27"/>
  <c r="AC27" i="16"/>
  <c r="Z11" i="16" s="1"/>
  <c r="AC11" i="16" s="1"/>
</calcChain>
</file>

<file path=xl/sharedStrings.xml><?xml version="1.0" encoding="utf-8"?>
<sst xmlns="http://schemas.openxmlformats.org/spreadsheetml/2006/main" count="638" uniqueCount="147">
  <si>
    <t>Months</t>
  </si>
  <si>
    <t xml:space="preserve">Runoff Co-efficient </t>
  </si>
  <si>
    <t>May</t>
  </si>
  <si>
    <t>December</t>
  </si>
  <si>
    <t>January</t>
  </si>
  <si>
    <t>February</t>
  </si>
  <si>
    <t>March</t>
  </si>
  <si>
    <t>April</t>
  </si>
  <si>
    <t>June</t>
  </si>
  <si>
    <t>July</t>
  </si>
  <si>
    <t>Reservoir surface area  (m2)</t>
  </si>
  <si>
    <t>August</t>
  </si>
  <si>
    <t>September</t>
  </si>
  <si>
    <t>October</t>
  </si>
  <si>
    <t>November</t>
  </si>
  <si>
    <t>Final Storage (MG)</t>
  </si>
  <si>
    <t>Lake Level above Bottom Draw off (ft.)</t>
  </si>
  <si>
    <t>Days’ Supply Remaining</t>
  </si>
  <si>
    <t>Water Level (ft.) 
Max level – 870.0 
Min. Level – 848.0</t>
  </si>
  <si>
    <r>
      <t>Drainage Area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</si>
  <si>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Month</t>
  </si>
  <si>
    <r>
      <t>Total Capacity of Hillsborough Reservoir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</si>
  <si>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t>Change in Storage (m3)</t>
  </si>
  <si>
    <t>Elevation (ft)</t>
  </si>
  <si>
    <t>Storage (m3)</t>
  </si>
  <si>
    <t>Monthly Reservoir Evaporation (m3)</t>
  </si>
  <si>
    <r>
      <t>Surface Inflow to Reservoir (m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</si>
  <si>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Daily Production (m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</si>
  <si>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t>Monthly Reservoir Outflow (m3)</t>
  </si>
  <si>
    <t>Hillsborough Storage Curve</t>
  </si>
  <si>
    <r>
      <t>Area (m</t>
    </r>
    <r>
      <rPr>
        <b/>
        <vertAlign val="superscript"/>
        <sz val="10"/>
        <color indexed="8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</si>
  <si>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t>Intial Storage (m3)</t>
  </si>
  <si>
    <t>Final Storage (m3)</t>
  </si>
  <si>
    <t>Roundup Area (m2)</t>
  </si>
  <si>
    <t>Rounddown Area (m2)</t>
  </si>
  <si>
    <t>Rounddown Water Level (ft)</t>
  </si>
  <si>
    <t>Roundup Water Level (ft)</t>
  </si>
  <si>
    <t>Higher Storage (m3)</t>
  </si>
  <si>
    <t>Lower Storage (m3)</t>
  </si>
  <si>
    <t>Reservoir Capacity (%)</t>
  </si>
  <si>
    <t>Closest Value to Initial Storage</t>
  </si>
  <si>
    <t>Higher Elevation (ft)</t>
  </si>
  <si>
    <t>Lower Elevation (ft)</t>
  </si>
  <si>
    <t>Forecasted Rainfall (mm)</t>
  </si>
  <si>
    <t>HILLSBOROUGH RESERVOIR</t>
  </si>
  <si>
    <t>Bottom Draw Off (ft)</t>
  </si>
  <si>
    <t>Constants</t>
  </si>
  <si>
    <t>Jan</t>
  </si>
  <si>
    <t>Apr</t>
  </si>
  <si>
    <t>Jun</t>
  </si>
  <si>
    <t>Jul</t>
  </si>
  <si>
    <t>Aug</t>
  </si>
  <si>
    <t>Sep</t>
  </si>
  <si>
    <t>Oct</t>
  </si>
  <si>
    <t>Nov</t>
  </si>
  <si>
    <t>Dec</t>
  </si>
  <si>
    <t>B.D.O. (ft)</t>
  </si>
  <si>
    <t>T.W.L. (ft)</t>
  </si>
  <si>
    <t>NAVET RESERVOIR</t>
  </si>
  <si>
    <t>Navet Storage Curve</t>
  </si>
  <si>
    <t>Hollis Storage Curve</t>
  </si>
  <si>
    <t>HOLLIS RESERVOIR</t>
  </si>
  <si>
    <r>
      <t>Total Capacity of Navet Reservoir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</si>
  <si>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Total Capacity of Hollis Reservoir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</si>
  <si>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t>CARONI RESERVOIR</t>
  </si>
  <si>
    <t>Caroni Storage Curve</t>
  </si>
  <si>
    <t>Total Capacity of Caroni Reservoir (m3)</t>
  </si>
  <si>
    <t>Water Level (ft.) 
Max level – 119.0 
Min. Level – 79.0</t>
  </si>
  <si>
    <t>Water Level (ft.) 
Max level – 620.0 
Min. Level – 576.0</t>
  </si>
  <si>
    <t>Water Level (ft.) 
Max level – 312.0 
Min. Level – 269.0</t>
  </si>
  <si>
    <t>% Capacity</t>
  </si>
  <si>
    <t>Navet</t>
  </si>
  <si>
    <t>Hollis</t>
  </si>
  <si>
    <t>Hillsborough</t>
  </si>
  <si>
    <t>Siltation</t>
  </si>
  <si>
    <t>Monthly Reservoir Inflow/Outflow (m3)</t>
  </si>
  <si>
    <r>
      <t>Daily Change (m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</si>
  <si>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t>Mar 31st</t>
  </si>
  <si>
    <t>May 31st</t>
  </si>
  <si>
    <t>Aug 31st</t>
  </si>
  <si>
    <t>Oct 31st</t>
  </si>
  <si>
    <t>Nov 30th</t>
  </si>
  <si>
    <t>Dec 31st</t>
  </si>
  <si>
    <t>Initial Lake Level (ft)</t>
  </si>
  <si>
    <t>Cubic meters to Imperial Gallons</t>
  </si>
  <si>
    <t>Feb</t>
  </si>
  <si>
    <t>Mar</t>
  </si>
  <si>
    <t>Lake Level</t>
  </si>
  <si>
    <t>Pumped from Lower to Upper Reservoir (MGD)</t>
  </si>
  <si>
    <t>Lower Reservoir</t>
  </si>
  <si>
    <t>Days</t>
  </si>
  <si>
    <t>Caroni</t>
  </si>
  <si>
    <t>Lower Threshold Forecast (mm)</t>
  </si>
  <si>
    <t>Actual Rainfall (mm)</t>
  </si>
  <si>
    <t>Actual Forecast (mm)</t>
  </si>
  <si>
    <t>HILLSBOROUGH</t>
  </si>
  <si>
    <t>HOLLIS</t>
  </si>
  <si>
    <t>NAVET</t>
  </si>
  <si>
    <t>CARONI</t>
  </si>
  <si>
    <t>Sep 30th</t>
  </si>
  <si>
    <t>Jul 31st</t>
  </si>
  <si>
    <t>Pumped from Lower Guide (MGD)</t>
  </si>
  <si>
    <t>Instructions</t>
  </si>
  <si>
    <t>Daily Evaporation (m)</t>
  </si>
  <si>
    <t>Average (ft)</t>
  </si>
  <si>
    <t>Input data into…</t>
  </si>
  <si>
    <t>Area (m2)</t>
  </si>
  <si>
    <t>Jan 31st</t>
  </si>
  <si>
    <t>Average Rainfall (85' - 04') (mm)</t>
  </si>
  <si>
    <t>Average Rainfall (81' - 10') (mm)</t>
  </si>
  <si>
    <t>Feb 28th</t>
  </si>
  <si>
    <t>April 30th</t>
  </si>
  <si>
    <t>Lower</t>
  </si>
  <si>
    <t>Upper</t>
  </si>
  <si>
    <t>Date</t>
  </si>
  <si>
    <t>-</t>
  </si>
  <si>
    <t xml:space="preserve">Actual </t>
  </si>
  <si>
    <t>Update Actual and Projected lines</t>
  </si>
  <si>
    <t>WRA Recommended Production (MGD)</t>
  </si>
  <si>
    <t>Caroni Reservoir – WRA Recommended Release Rate and Corresponding Capacity and Lake Level</t>
  </si>
  <si>
    <t>Recommended Pumped (+) and Released Rate (-) (MGD)</t>
  </si>
  <si>
    <t>Navet Reservoir – WRA Recommended Production and Corresponding Capacity and Lake Level</t>
  </si>
  <si>
    <t>Hollis Reservoir – WRA Recommended Production and Corresponding Capacity and Lake Level</t>
  </si>
  <si>
    <t>Hillsborough Reservoir – WRA Recommended Production and Corresponding Capacity and Lake Level</t>
  </si>
  <si>
    <t>60-75</t>
  </si>
  <si>
    <t>Jun 30th</t>
  </si>
  <si>
    <t>MAX</t>
  </si>
  <si>
    <t>Projected 2018</t>
  </si>
  <si>
    <t>WASA Summary Table</t>
  </si>
  <si>
    <t>Reservoir</t>
  </si>
  <si>
    <t>Item</t>
  </si>
  <si>
    <t>Arena</t>
  </si>
  <si>
    <t>Elevation (ft.)</t>
  </si>
  <si>
    <t>Proposed Plant Prod (MGD)</t>
  </si>
  <si>
    <t>Live Storage (MGD)</t>
  </si>
  <si>
    <t>Days Remaining</t>
  </si>
  <si>
    <t>Pumped from Lower (MGD)</t>
  </si>
  <si>
    <t>N/A</t>
  </si>
  <si>
    <t>60-70</t>
  </si>
  <si>
    <t>Rainfall</t>
  </si>
  <si>
    <t>Level</t>
  </si>
  <si>
    <t>Production</t>
  </si>
  <si>
    <t>Actual 2018</t>
  </si>
  <si>
    <t>65-75</t>
  </si>
  <si>
    <t>Rainfall (mm)</t>
  </si>
  <si>
    <t>Rainfall Forecast (mm)</t>
  </si>
  <si>
    <t>Average Rainfall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</si>
</sst>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"/>
    <numFmt numFmtId="165" formatCode="0.000"/>
    <numFmt numFmtId="166" formatCode="0.0000"/>
    <numFmt numFmtId="167" formatCode="[$-409]mmm\-yy;@"/>
  </numFmts>
  <fonts count="4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vertAlign val="superscript"/>
      <sz val="10"/>
      <name val="Arial"/>
      <family val="2"/>
    </font>
    <font>
      <sz val="10"/>
      <color rgb="FF333333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vertAlign val="superscript"/>
      <sz val="10"/>
      <name val="Arial"/>
      <family val="2"/>
    </font>
    <font>
      <b/>
      <vertAlign val="superscript"/>
      <sz val="10"/>
      <color indexed="8"/>
      <name val="Arial"/>
      <family val="2"/>
    </font>
    <font>
      <sz val="10"/>
      <color rgb="FF323232"/>
      <name val="Arial"/>
      <family val="2"/>
    </font>
    <font>
      <b/>
      <sz val="12"/>
      <color theme="1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6"/>
      <name val="Arial"/>
      <family val="2"/>
    </font>
    <font>
      <b/>
      <sz val="16"/>
      <color theme="1"/>
      <name val="Arial"/>
      <family val="2"/>
    </font>
    <font>
      <sz val="16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8">
    <xf numFmtId="0" fontId="0" fillId="0" borderId="0"/>
    <xf numFmtId="43" fontId="22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</cellStyleXfs>
  <cellXfs count="246">
    <xf numFmtId="0" fontId="0" fillId="0" borderId="0" xfId="0"/>
    <xf numFmtId="0" fontId="21" fillId="2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64" fontId="23" fillId="0" borderId="1" xfId="0" applyNumberFormat="1" applyFont="1" applyBorder="1" applyAlignment="1">
      <alignment horizontal="center" vertical="center" wrapText="1"/>
    </xf>
    <xf numFmtId="1" fontId="23" fillId="0" borderId="1" xfId="0" applyNumberFormat="1" applyFont="1" applyBorder="1" applyAlignment="1">
      <alignment horizontal="center" vertical="center" wrapText="1"/>
    </xf>
    <xf numFmtId="2" fontId="23" fillId="0" borderId="1" xfId="0" applyNumberFormat="1" applyFont="1" applyBorder="1" applyAlignment="1">
      <alignment horizontal="center" vertical="center" wrapText="1"/>
    </xf>
    <xf numFmtId="0" fontId="23" fillId="0" borderId="0" xfId="0" applyNumberFormat="1" applyFont="1" applyFill="1" applyBorder="1" applyAlignment="1">
      <alignment horizontal="center" vertical="center" wrapText="1"/>
    </xf>
    <xf numFmtId="0" fontId="23" fillId="0" borderId="0" xfId="0" applyNumberFormat="1" applyFont="1" applyFill="1" applyBorder="1" applyAlignment="1">
      <alignment horizontal="center" vertical="center"/>
    </xf>
    <xf numFmtId="0" fontId="21" fillId="0" borderId="0" xfId="0" applyNumberFormat="1" applyFont="1" applyFill="1" applyBorder="1" applyAlignment="1">
      <alignment horizontal="center" vertical="center" wrapText="1"/>
    </xf>
    <xf numFmtId="165" fontId="23" fillId="0" borderId="0" xfId="0" applyNumberFormat="1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 wrapText="1"/>
    </xf>
    <xf numFmtId="1" fontId="23" fillId="0" borderId="0" xfId="0" applyNumberFormat="1" applyFont="1" applyFill="1" applyBorder="1" applyAlignment="1">
      <alignment horizontal="center" vertical="center" wrapText="1"/>
    </xf>
    <xf numFmtId="1" fontId="25" fillId="0" borderId="1" xfId="0" applyNumberFormat="1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 wrapText="1"/>
    </xf>
    <xf numFmtId="4" fontId="25" fillId="0" borderId="0" xfId="0" applyNumberFormat="1" applyFont="1" applyFill="1" applyBorder="1" applyAlignment="1">
      <alignment horizontal="center" vertical="center" wrapText="1"/>
    </xf>
    <xf numFmtId="43" fontId="25" fillId="0" borderId="0" xfId="1" applyFont="1" applyFill="1" applyBorder="1" applyAlignment="1">
      <alignment horizontal="center" vertical="center" wrapText="1"/>
    </xf>
    <xf numFmtId="43" fontId="27" fillId="0" borderId="0" xfId="1" applyFont="1" applyFill="1" applyBorder="1" applyAlignment="1">
      <alignment horizontal="center" vertical="center" wrapText="1"/>
    </xf>
    <xf numFmtId="43" fontId="25" fillId="0" borderId="0" xfId="0" applyNumberFormat="1" applyFont="1" applyFill="1" applyBorder="1" applyAlignment="1">
      <alignment horizontal="center" vertical="center" wrapText="1"/>
    </xf>
    <xf numFmtId="43" fontId="28" fillId="0" borderId="0" xfId="0" applyNumberFormat="1" applyFont="1" applyFill="1" applyBorder="1" applyAlignment="1">
      <alignment horizontal="center" vertical="center" wrapText="1"/>
    </xf>
    <xf numFmtId="165" fontId="25" fillId="0" borderId="0" xfId="0" applyNumberFormat="1" applyFont="1" applyFill="1" applyBorder="1" applyAlignment="1">
      <alignment horizontal="center" vertical="center" wrapText="1"/>
    </xf>
    <xf numFmtId="1" fontId="25" fillId="0" borderId="0" xfId="0" applyNumberFormat="1" applyFont="1" applyFill="1" applyBorder="1" applyAlignment="1">
      <alignment horizontal="center" vertical="center" wrapText="1"/>
    </xf>
    <xf numFmtId="0" fontId="23" fillId="0" borderId="0" xfId="0" applyNumberFormat="1" applyFont="1" applyFill="1" applyBorder="1" applyAlignment="1">
      <alignment horizontal="left" vertical="center" wrapText="1"/>
    </xf>
    <xf numFmtId="0" fontId="23" fillId="0" borderId="0" xfId="0" applyNumberFormat="1" applyFont="1" applyFill="1" applyBorder="1" applyAlignment="1">
      <alignment horizontal="left" vertical="center"/>
    </xf>
    <xf numFmtId="0" fontId="23" fillId="0" borderId="0" xfId="0" applyNumberFormat="1" applyFont="1" applyFill="1" applyBorder="1" applyAlignment="1">
      <alignment vertical="center" wrapText="1"/>
    </xf>
    <xf numFmtId="1" fontId="29" fillId="0" borderId="1" xfId="0" applyNumberFormat="1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left" vertical="center"/>
    </xf>
    <xf numFmtId="0" fontId="21" fillId="0" borderId="1" xfId="0" applyNumberFormat="1" applyFont="1" applyFill="1" applyBorder="1" applyAlignment="1">
      <alignment horizontal="center" vertical="center" wrapText="1"/>
    </xf>
    <xf numFmtId="0" fontId="23" fillId="0" borderId="1" xfId="0" applyNumberFormat="1" applyFont="1" applyFill="1" applyBorder="1" applyAlignment="1">
      <alignment horizontal="center" vertical="center" wrapText="1"/>
    </xf>
    <xf numFmtId="0" fontId="29" fillId="0" borderId="1" xfId="0" applyNumberFormat="1" applyFont="1" applyFill="1" applyBorder="1" applyAlignment="1">
      <alignment horizontal="center" vertical="center" wrapText="1"/>
    </xf>
    <xf numFmtId="2" fontId="23" fillId="0" borderId="1" xfId="0" applyNumberFormat="1" applyFont="1" applyFill="1" applyBorder="1" applyAlignment="1">
      <alignment horizontal="center" vertical="center" wrapText="1"/>
    </xf>
    <xf numFmtId="1" fontId="23" fillId="0" borderId="1" xfId="0" applyNumberFormat="1" applyFont="1" applyFill="1" applyBorder="1" applyAlignment="1">
      <alignment horizontal="center" vertical="center" wrapText="1"/>
    </xf>
    <xf numFmtId="1" fontId="25" fillId="0" borderId="1" xfId="1" applyNumberFormat="1" applyFont="1" applyFill="1" applyBorder="1" applyAlignment="1">
      <alignment horizontal="center" vertical="center" wrapText="1"/>
    </xf>
    <xf numFmtId="1" fontId="32" fillId="0" borderId="1" xfId="0" applyNumberFormat="1" applyFont="1" applyBorder="1" applyAlignment="1">
      <alignment horizontal="center"/>
    </xf>
    <xf numFmtId="0" fontId="23" fillId="0" borderId="5" xfId="0" applyNumberFormat="1" applyFont="1" applyFill="1" applyBorder="1" applyAlignment="1">
      <alignment horizontal="left" vertical="center"/>
    </xf>
    <xf numFmtId="0" fontId="23" fillId="0" borderId="5" xfId="0" applyNumberFormat="1" applyFont="1" applyFill="1" applyBorder="1" applyAlignment="1">
      <alignment vertical="center"/>
    </xf>
    <xf numFmtId="0" fontId="23" fillId="0" borderId="2" xfId="0" applyNumberFormat="1" applyFont="1" applyFill="1" applyBorder="1" applyAlignment="1">
      <alignment horizontal="left" vertical="center" wrapText="1"/>
    </xf>
    <xf numFmtId="0" fontId="25" fillId="0" borderId="2" xfId="0" applyNumberFormat="1" applyFont="1" applyFill="1" applyBorder="1" applyAlignment="1">
      <alignment horizontal="left" vertical="center"/>
    </xf>
    <xf numFmtId="1" fontId="21" fillId="0" borderId="1" xfId="0" applyNumberFormat="1" applyFont="1" applyBorder="1" applyAlignment="1">
      <alignment horizontal="center" vertical="center" wrapText="1"/>
    </xf>
    <xf numFmtId="43" fontId="25" fillId="0" borderId="0" xfId="1" applyFont="1" applyFill="1" applyBorder="1" applyAlignment="1">
      <alignment horizontal="center" vertical="center" wrapText="1"/>
    </xf>
    <xf numFmtId="3" fontId="23" fillId="0" borderId="2" xfId="0" applyNumberFormat="1" applyFont="1" applyFill="1" applyBorder="1" applyAlignment="1">
      <alignment horizontal="left" vertical="center" wrapText="1"/>
    </xf>
    <xf numFmtId="0" fontId="37" fillId="0" borderId="0" xfId="0" applyNumberFormat="1" applyFont="1" applyFill="1" applyBorder="1" applyAlignment="1">
      <alignment horizontal="center" vertical="center" wrapText="1"/>
    </xf>
    <xf numFmtId="43" fontId="38" fillId="0" borderId="0" xfId="0" applyNumberFormat="1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horizontal="center" vertical="center" wrapText="1"/>
    </xf>
    <xf numFmtId="0" fontId="39" fillId="0" borderId="0" xfId="0" applyNumberFormat="1" applyFont="1" applyFill="1" applyBorder="1" applyAlignment="1">
      <alignment horizontal="center" vertical="center" wrapText="1"/>
    </xf>
    <xf numFmtId="43" fontId="40" fillId="0" borderId="0" xfId="0" applyNumberFormat="1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center" vertical="center" wrapText="1"/>
    </xf>
    <xf numFmtId="166" fontId="23" fillId="0" borderId="1" xfId="0" applyNumberFormat="1" applyFont="1" applyFill="1" applyBorder="1" applyAlignment="1">
      <alignment horizontal="center" vertical="center" wrapText="1"/>
    </xf>
    <xf numFmtId="0" fontId="25" fillId="0" borderId="2" xfId="0" applyFont="1" applyFill="1" applyBorder="1" applyAlignment="1">
      <alignment horizontal="left" vertical="center"/>
    </xf>
    <xf numFmtId="0" fontId="23" fillId="0" borderId="6" xfId="0" applyNumberFormat="1" applyFont="1" applyFill="1" applyBorder="1" applyAlignment="1">
      <alignment horizontal="left" vertical="center" wrapText="1"/>
    </xf>
    <xf numFmtId="0" fontId="23" fillId="0" borderId="7" xfId="0" applyNumberFormat="1" applyFont="1" applyFill="1" applyBorder="1" applyAlignment="1">
      <alignment horizontal="left" vertical="center" wrapText="1"/>
    </xf>
    <xf numFmtId="0" fontId="23" fillId="0" borderId="8" xfId="0" applyNumberFormat="1" applyFont="1" applyFill="1" applyBorder="1" applyAlignment="1">
      <alignment horizontal="left" vertical="center" wrapText="1"/>
    </xf>
    <xf numFmtId="43" fontId="25" fillId="0" borderId="0" xfId="1" applyFont="1" applyFill="1" applyBorder="1" applyAlignment="1">
      <alignment horizontal="center" vertical="center" wrapText="1"/>
    </xf>
    <xf numFmtId="1" fontId="23" fillId="0" borderId="12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166" fontId="23" fillId="0" borderId="0" xfId="0" applyNumberFormat="1" applyFont="1" applyFill="1" applyBorder="1" applyAlignment="1">
      <alignment horizontal="center" vertical="center" wrapText="1"/>
    </xf>
    <xf numFmtId="2" fontId="23" fillId="0" borderId="0" xfId="0" applyNumberFormat="1" applyFont="1" applyFill="1" applyBorder="1" applyAlignment="1">
      <alignment horizontal="center" vertical="center" wrapText="1"/>
    </xf>
    <xf numFmtId="2" fontId="23" fillId="0" borderId="0" xfId="0" applyNumberFormat="1" applyFont="1" applyBorder="1" applyAlignment="1">
      <alignment horizontal="center" vertical="center" wrapText="1"/>
    </xf>
    <xf numFmtId="0" fontId="23" fillId="0" borderId="0" xfId="0" applyNumberFormat="1" applyFont="1" applyBorder="1" applyAlignment="1">
      <alignment horizontal="center" vertical="center" wrapText="1"/>
    </xf>
    <xf numFmtId="2" fontId="25" fillId="0" borderId="0" xfId="0" applyNumberFormat="1" applyFont="1" applyFill="1" applyBorder="1" applyAlignment="1">
      <alignment horizontal="center" vertical="center"/>
    </xf>
    <xf numFmtId="43" fontId="25" fillId="0" borderId="0" xfId="1" applyFont="1" applyFill="1" applyBorder="1" applyAlignment="1">
      <alignment horizontal="center" vertical="center" wrapText="1"/>
    </xf>
    <xf numFmtId="43" fontId="25" fillId="0" borderId="0" xfId="1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vertical="center"/>
    </xf>
    <xf numFmtId="164" fontId="23" fillId="0" borderId="1" xfId="0" applyNumberFormat="1" applyFont="1" applyFill="1" applyBorder="1" applyAlignment="1">
      <alignment horizontal="center" vertical="center" wrapText="1"/>
    </xf>
    <xf numFmtId="0" fontId="21" fillId="4" borderId="1" xfId="0" applyNumberFormat="1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164" fontId="23" fillId="0" borderId="0" xfId="0" applyNumberFormat="1" applyFont="1" applyFill="1" applyBorder="1" applyAlignment="1">
      <alignment horizontal="center" vertical="center" wrapText="1"/>
    </xf>
    <xf numFmtId="43" fontId="25" fillId="0" borderId="0" xfId="1" applyFont="1" applyFill="1" applyBorder="1" applyAlignment="1">
      <alignment horizontal="center" vertical="center" wrapText="1"/>
    </xf>
    <xf numFmtId="1" fontId="21" fillId="0" borderId="1" xfId="0" applyNumberFormat="1" applyFont="1" applyFill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23" fillId="0" borderId="0" xfId="0" applyNumberFormat="1" applyFont="1" applyFill="1" applyBorder="1" applyAlignment="1">
      <alignment horizontal="center" vertical="center" wrapText="1"/>
    </xf>
    <xf numFmtId="0" fontId="23" fillId="0" borderId="1" xfId="0" applyNumberFormat="1" applyFont="1" applyFill="1" applyBorder="1" applyAlignment="1">
      <alignment horizontal="left" vertical="center"/>
    </xf>
    <xf numFmtId="0" fontId="23" fillId="0" borderId="21" xfId="0" applyNumberFormat="1" applyFont="1" applyFill="1" applyBorder="1" applyAlignment="1">
      <alignment horizontal="center" vertical="center" wrapText="1"/>
    </xf>
    <xf numFmtId="0" fontId="23" fillId="0" borderId="22" xfId="0" applyNumberFormat="1" applyFont="1" applyFill="1" applyBorder="1" applyAlignment="1">
      <alignment vertical="center"/>
    </xf>
    <xf numFmtId="1" fontId="23" fillId="0" borderId="23" xfId="0" applyNumberFormat="1" applyFont="1" applyFill="1" applyBorder="1" applyAlignment="1">
      <alignment horizontal="left" vertical="center"/>
    </xf>
    <xf numFmtId="0" fontId="23" fillId="0" borderId="23" xfId="0" applyNumberFormat="1" applyFont="1" applyFill="1" applyBorder="1" applyAlignment="1">
      <alignment horizontal="center" vertical="center"/>
    </xf>
    <xf numFmtId="0" fontId="23" fillId="0" borderId="24" xfId="0" applyNumberFormat="1" applyFont="1" applyFill="1" applyBorder="1" applyAlignment="1">
      <alignment horizontal="center" vertical="center"/>
    </xf>
    <xf numFmtId="0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2" fontId="25" fillId="0" borderId="1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0" xfId="0" applyNumberFormat="1" applyFont="1" applyFill="1" applyBorder="1" applyAlignment="1" applyProtection="1">
      <alignment horizontal="center" vertical="center" wrapText="1"/>
      <protection locked="0"/>
    </xf>
    <xf numFmtId="17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Fill="1" applyBorder="1" applyAlignment="1" applyProtection="1">
      <alignment horizontal="center" vertical="center" wrapText="1"/>
      <protection locked="0"/>
    </xf>
    <xf numFmtId="1" fontId="21" fillId="0" borderId="0" xfId="0" applyNumberFormat="1" applyFont="1" applyFill="1" applyBorder="1" applyAlignment="1" applyProtection="1">
      <alignment horizontal="right"/>
      <protection locked="0"/>
    </xf>
    <xf numFmtId="1" fontId="21" fillId="0" borderId="0" xfId="0" applyNumberFormat="1" applyFont="1" applyFill="1" applyBorder="1" applyAlignment="1" applyProtection="1">
      <alignment horizontal="center"/>
      <protection locked="0"/>
    </xf>
    <xf numFmtId="43" fontId="28" fillId="0" borderId="0" xfId="0" applyNumberFormat="1" applyFont="1" applyFill="1" applyBorder="1" applyAlignment="1" applyProtection="1">
      <alignment horizontal="center" vertical="center" wrapText="1"/>
      <protection locked="0"/>
    </xf>
    <xf numFmtId="164" fontId="25" fillId="0" borderId="1" xfId="0" applyNumberFormat="1" applyFont="1" applyFill="1" applyBorder="1" applyAlignment="1" applyProtection="1">
      <alignment horizontal="center" vertical="center"/>
      <protection locked="0"/>
    </xf>
    <xf numFmtId="2" fontId="25" fillId="0" borderId="1" xfId="0" applyNumberFormat="1" applyFont="1" applyFill="1" applyBorder="1" applyAlignment="1">
      <alignment horizontal="center" vertical="center" wrapText="1"/>
    </xf>
    <xf numFmtId="1" fontId="25" fillId="0" borderId="2" xfId="0" applyNumberFormat="1" applyFont="1" applyFill="1" applyBorder="1" applyAlignment="1">
      <alignment horizontal="left" vertical="center"/>
    </xf>
    <xf numFmtId="0" fontId="25" fillId="0" borderId="25" xfId="0" applyFont="1" applyBorder="1" applyAlignment="1">
      <alignment horizontal="center" vertical="center"/>
    </xf>
    <xf numFmtId="1" fontId="25" fillId="0" borderId="25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43" fontId="25" fillId="0" borderId="0" xfId="1" applyFont="1" applyFill="1" applyBorder="1" applyAlignment="1">
      <alignment horizontal="center" vertical="center" wrapText="1"/>
    </xf>
    <xf numFmtId="0" fontId="21" fillId="4" borderId="27" xfId="0" applyNumberFormat="1" applyFont="1" applyFill="1" applyBorder="1" applyAlignment="1">
      <alignment horizontal="center" vertical="center" wrapText="1"/>
    </xf>
    <xf numFmtId="0" fontId="29" fillId="0" borderId="0" xfId="0" applyNumberFormat="1" applyFont="1" applyFill="1" applyBorder="1" applyAlignment="1">
      <alignment horizontal="center" vertical="center" wrapText="1"/>
    </xf>
    <xf numFmtId="0" fontId="21" fillId="0" borderId="26" xfId="0" applyNumberFormat="1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64" fontId="23" fillId="0" borderId="25" xfId="0" quotePrefix="1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Border="1" applyAlignment="1">
      <alignment vertical="center" wrapText="1"/>
    </xf>
    <xf numFmtId="43" fontId="25" fillId="0" borderId="0" xfId="1" applyFont="1" applyFill="1" applyBorder="1" applyAlignment="1">
      <alignment horizontal="center" vertical="center" wrapText="1"/>
    </xf>
    <xf numFmtId="164" fontId="25" fillId="0" borderId="0" xfId="0" applyNumberFormat="1" applyFon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1" fontId="21" fillId="0" borderId="11" xfId="0" applyNumberFormat="1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vertical="center" wrapText="1"/>
    </xf>
    <xf numFmtId="164" fontId="25" fillId="0" borderId="29" xfId="0" applyNumberFormat="1" applyFont="1" applyFill="1" applyBorder="1" applyAlignment="1">
      <alignment horizontal="center" vertical="center" wrapText="1"/>
    </xf>
    <xf numFmtId="1" fontId="32" fillId="0" borderId="1" xfId="0" applyNumberFormat="1" applyFont="1" applyBorder="1" applyAlignment="1">
      <alignment horizontal="center" vertical="center"/>
    </xf>
    <xf numFmtId="0" fontId="29" fillId="0" borderId="29" xfId="0" applyNumberFormat="1" applyFont="1" applyFill="1" applyBorder="1" applyAlignment="1">
      <alignment horizontal="center" vertical="center" wrapText="1"/>
    </xf>
    <xf numFmtId="0" fontId="21" fillId="0" borderId="29" xfId="0" applyNumberFormat="1" applyFont="1" applyFill="1" applyBorder="1" applyAlignment="1">
      <alignment horizontal="center" vertical="center" wrapText="1"/>
    </xf>
    <xf numFmtId="1" fontId="23" fillId="0" borderId="29" xfId="0" applyNumberFormat="1" applyFont="1" applyFill="1" applyBorder="1" applyAlignment="1">
      <alignment horizontal="center" vertical="center" wrapText="1"/>
    </xf>
    <xf numFmtId="1" fontId="25" fillId="0" borderId="2" xfId="0" applyNumberFormat="1" applyFont="1" applyBorder="1" applyAlignment="1">
      <alignment horizontal="left" vertical="center"/>
    </xf>
    <xf numFmtId="166" fontId="23" fillId="0" borderId="33" xfId="0" applyNumberFormat="1" applyFont="1" applyFill="1" applyBorder="1" applyAlignment="1">
      <alignment horizontal="center" vertical="center" wrapText="1"/>
    </xf>
    <xf numFmtId="1" fontId="23" fillId="0" borderId="33" xfId="0" applyNumberFormat="1" applyFont="1" applyFill="1" applyBorder="1" applyAlignment="1">
      <alignment horizontal="center" vertical="center" wrapText="1"/>
    </xf>
    <xf numFmtId="1" fontId="23" fillId="0" borderId="32" xfId="0" applyNumberFormat="1" applyFont="1" applyFill="1" applyBorder="1" applyAlignment="1">
      <alignment horizontal="center" vertical="center" wrapText="1"/>
    </xf>
    <xf numFmtId="0" fontId="23" fillId="0" borderId="32" xfId="0" applyNumberFormat="1" applyFont="1" applyFill="1" applyBorder="1" applyAlignment="1">
      <alignment horizontal="center" vertical="center" wrapText="1"/>
    </xf>
    <xf numFmtId="1" fontId="25" fillId="0" borderId="32" xfId="0" applyNumberFormat="1" applyFont="1" applyFill="1" applyBorder="1" applyAlignment="1">
      <alignment horizontal="center" vertical="center" wrapText="1"/>
    </xf>
    <xf numFmtId="2" fontId="37" fillId="0" borderId="0" xfId="0" applyNumberFormat="1" applyFont="1" applyBorder="1" applyAlignment="1">
      <alignment horizontal="right" wrapText="1"/>
    </xf>
    <xf numFmtId="2" fontId="37" fillId="0" borderId="0" xfId="0" applyNumberFormat="1" applyFont="1" applyFill="1" applyBorder="1" applyAlignment="1">
      <alignment horizontal="right"/>
    </xf>
    <xf numFmtId="0" fontId="21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30" xfId="0" applyFont="1" applyBorder="1" applyAlignment="1">
      <alignment vertical="center" wrapText="1"/>
    </xf>
    <xf numFmtId="1" fontId="23" fillId="0" borderId="25" xfId="0" quotePrefix="1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29" fillId="3" borderId="34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167" fontId="29" fillId="3" borderId="34" xfId="0" applyNumberFormat="1" applyFont="1" applyFill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0" xfId="0" applyFont="1" applyBorder="1" applyAlignment="1">
      <alignment vertical="center" wrapText="1"/>
    </xf>
    <xf numFmtId="1" fontId="12" fillId="0" borderId="0" xfId="0" applyNumberFormat="1" applyFont="1" applyBorder="1" applyAlignment="1">
      <alignment horizontal="center" vertical="center" wrapText="1"/>
    </xf>
    <xf numFmtId="2" fontId="12" fillId="0" borderId="34" xfId="0" applyNumberFormat="1" applyFont="1" applyBorder="1" applyAlignment="1">
      <alignment horizontal="right" vertical="center" wrapText="1"/>
    </xf>
    <xf numFmtId="1" fontId="12" fillId="0" borderId="34" xfId="0" applyNumberFormat="1" applyFont="1" applyBorder="1" applyAlignment="1">
      <alignment horizontal="right" vertical="center" wrapText="1"/>
    </xf>
    <xf numFmtId="164" fontId="12" fillId="0" borderId="34" xfId="0" applyNumberFormat="1" applyFont="1" applyBorder="1" applyAlignment="1">
      <alignment horizontal="right" vertical="center" wrapText="1"/>
    </xf>
    <xf numFmtId="164" fontId="23" fillId="0" borderId="25" xfId="0" applyNumberFormat="1" applyFont="1" applyFill="1" applyBorder="1" applyAlignment="1" applyProtection="1">
      <alignment horizontal="right" vertical="center" wrapText="1"/>
      <protection locked="0"/>
    </xf>
    <xf numFmtId="164" fontId="23" fillId="0" borderId="1" xfId="0" applyNumberFormat="1" applyFont="1" applyFill="1" applyBorder="1" applyAlignment="1" applyProtection="1">
      <alignment horizontal="right" vertical="center" wrapText="1"/>
      <protection locked="0"/>
    </xf>
    <xf numFmtId="2" fontId="23" fillId="0" borderId="0" xfId="0" applyNumberFormat="1" applyFont="1" applyFill="1" applyBorder="1" applyAlignment="1" applyProtection="1">
      <alignment horizontal="right" vertical="center" wrapText="1"/>
      <protection locked="0"/>
    </xf>
    <xf numFmtId="164" fontId="23" fillId="0" borderId="25" xfId="0" quotePrefix="1" applyNumberFormat="1" applyFont="1" applyFill="1" applyBorder="1" applyAlignment="1" applyProtection="1">
      <alignment horizontal="right" vertical="center" wrapText="1"/>
      <protection locked="0"/>
    </xf>
    <xf numFmtId="164" fontId="23" fillId="0" borderId="1" xfId="3" applyNumberFormat="1" applyFont="1" applyFill="1" applyBorder="1" applyAlignment="1" applyProtection="1">
      <alignment horizontal="right" vertical="center" wrapText="1"/>
      <protection locked="0"/>
    </xf>
    <xf numFmtId="164" fontId="23" fillId="0" borderId="13" xfId="0" applyNumberFormat="1" applyFont="1" applyFill="1" applyBorder="1" applyAlignment="1" applyProtection="1">
      <alignment horizontal="right" vertical="center" wrapText="1"/>
      <protection locked="0"/>
    </xf>
    <xf numFmtId="164" fontId="23" fillId="0" borderId="13" xfId="3" applyNumberFormat="1" applyFont="1" applyFill="1" applyBorder="1" applyAlignment="1" applyProtection="1">
      <alignment horizontal="right" vertical="center" wrapText="1"/>
      <protection locked="0"/>
    </xf>
    <xf numFmtId="2" fontId="43" fillId="0" borderId="0" xfId="0" applyNumberFormat="1" applyFont="1" applyFill="1" applyBorder="1" applyAlignment="1" applyProtection="1">
      <alignment horizontal="center" vertical="center" wrapText="1"/>
      <protection locked="0"/>
    </xf>
    <xf numFmtId="2" fontId="21" fillId="0" borderId="0" xfId="0" applyNumberFormat="1" applyFont="1" applyFill="1" applyBorder="1" applyAlignment="1" applyProtection="1">
      <alignment horizontal="center" vertical="center" wrapText="1"/>
      <protection locked="0"/>
    </xf>
    <xf numFmtId="2" fontId="23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9" fillId="5" borderId="34" xfId="0" applyFont="1" applyFill="1" applyBorder="1" applyAlignment="1">
      <alignment horizontal="center" vertical="center" wrapText="1"/>
    </xf>
    <xf numFmtId="0" fontId="29" fillId="5" borderId="34" xfId="0" applyFont="1" applyFill="1" applyBorder="1" applyAlignment="1">
      <alignment vertical="center" wrapText="1"/>
    </xf>
    <xf numFmtId="167" fontId="29" fillId="5" borderId="34" xfId="0" applyNumberFormat="1" applyFont="1" applyFill="1" applyBorder="1" applyAlignment="1">
      <alignment horizontal="center" vertical="center" wrapText="1"/>
    </xf>
    <xf numFmtId="164" fontId="23" fillId="0" borderId="35" xfId="0" quotePrefix="1" applyNumberFormat="1" applyFont="1" applyFill="1" applyBorder="1" applyAlignment="1" applyProtection="1">
      <alignment horizontal="center" vertical="center" wrapText="1"/>
      <protection locked="0"/>
    </xf>
    <xf numFmtId="0" fontId="23" fillId="0" borderId="35" xfId="0" applyNumberFormat="1" applyFont="1" applyFill="1" applyBorder="1" applyAlignment="1" applyProtection="1">
      <alignment horizontal="center" vertical="center" wrapText="1"/>
      <protection locked="0"/>
    </xf>
    <xf numFmtId="1" fontId="23" fillId="0" borderId="35" xfId="0" quotePrefix="1" applyNumberFormat="1" applyFont="1" applyFill="1" applyBorder="1" applyAlignment="1" applyProtection="1">
      <alignment horizontal="center" vertical="center" wrapText="1"/>
      <protection locked="0"/>
    </xf>
    <xf numFmtId="164" fontId="23" fillId="0" borderId="35" xfId="0" applyNumberFormat="1" applyFont="1" applyFill="1" applyBorder="1" applyAlignment="1" applyProtection="1">
      <alignment horizontal="center" vertical="center" wrapText="1"/>
      <protection locked="0"/>
    </xf>
    <xf numFmtId="2" fontId="23" fillId="0" borderId="35" xfId="0" applyNumberFormat="1" applyFont="1" applyFill="1" applyBorder="1" applyAlignment="1" applyProtection="1">
      <alignment horizontal="center" vertical="center" wrapText="1"/>
      <protection locked="0"/>
    </xf>
    <xf numFmtId="2" fontId="7" fillId="0" borderId="34" xfId="0" applyNumberFormat="1" applyFont="1" applyBorder="1" applyAlignment="1">
      <alignment horizontal="right" vertical="center" wrapText="1"/>
    </xf>
    <xf numFmtId="164" fontId="23" fillId="0" borderId="35" xfId="0" quotePrefix="1" applyNumberFormat="1" applyFont="1" applyFill="1" applyBorder="1" applyAlignment="1" applyProtection="1">
      <alignment horizontal="right" vertical="center" wrapText="1"/>
      <protection locked="0"/>
    </xf>
    <xf numFmtId="164" fontId="23" fillId="0" borderId="35" xfId="0" applyNumberFormat="1" applyFont="1" applyFill="1" applyBorder="1" applyAlignment="1" applyProtection="1">
      <alignment horizontal="right" vertical="center" wrapText="1"/>
      <protection locked="0"/>
    </xf>
    <xf numFmtId="17" fontId="25" fillId="0" borderId="35" xfId="0" applyNumberFormat="1" applyFont="1" applyBorder="1" applyAlignment="1">
      <alignment horizontal="center" vertical="center"/>
    </xf>
    <xf numFmtId="17" fontId="20" fillId="0" borderId="35" xfId="0" applyNumberFormat="1" applyFont="1" applyBorder="1" applyAlignment="1">
      <alignment horizontal="center" vertical="center"/>
    </xf>
    <xf numFmtId="164" fontId="23" fillId="0" borderId="35" xfId="0" applyNumberFormat="1" applyFont="1" applyFill="1" applyBorder="1" applyAlignment="1" applyProtection="1">
      <alignment horizontal="center" vertical="center"/>
      <protection locked="0"/>
    </xf>
    <xf numFmtId="164" fontId="5" fillId="0" borderId="35" xfId="0" applyNumberFormat="1" applyFont="1" applyFill="1" applyBorder="1" applyAlignment="1" applyProtection="1">
      <alignment horizontal="center" vertical="center"/>
      <protection locked="0"/>
    </xf>
    <xf numFmtId="164" fontId="5" fillId="0" borderId="35" xfId="0" applyNumberFormat="1" applyFont="1" applyFill="1" applyBorder="1" applyAlignment="1" applyProtection="1">
      <alignment horizontal="center"/>
      <protection locked="0"/>
    </xf>
    <xf numFmtId="0" fontId="4" fillId="0" borderId="0" xfId="0" applyFont="1"/>
    <xf numFmtId="0" fontId="4" fillId="0" borderId="35" xfId="0" applyFont="1" applyBorder="1" applyAlignment="1">
      <alignment horizontal="center" vertical="center"/>
    </xf>
    <xf numFmtId="164" fontId="4" fillId="0" borderId="35" xfId="0" applyNumberFormat="1" applyFont="1" applyBorder="1" applyAlignment="1">
      <alignment horizontal="center" vertical="center"/>
    </xf>
    <xf numFmtId="0" fontId="4" fillId="0" borderId="35" xfId="0" applyFont="1" applyBorder="1"/>
    <xf numFmtId="0" fontId="23" fillId="0" borderId="1" xfId="0" applyNumberFormat="1" applyFont="1" applyFill="1" applyBorder="1" applyAlignment="1" applyProtection="1">
      <alignment horizontal="right" vertical="center" wrapText="1"/>
      <protection locked="0"/>
    </xf>
    <xf numFmtId="166" fontId="23" fillId="0" borderId="1" xfId="0" applyNumberFormat="1" applyFont="1" applyFill="1" applyBorder="1" applyAlignment="1">
      <alignment horizontal="right" vertical="center" wrapText="1"/>
    </xf>
    <xf numFmtId="166" fontId="23" fillId="0" borderId="28" xfId="0" applyNumberFormat="1" applyFont="1" applyFill="1" applyBorder="1" applyAlignment="1">
      <alignment horizontal="right" vertical="center" wrapText="1"/>
    </xf>
    <xf numFmtId="0" fontId="29" fillId="0" borderId="0" xfId="0" applyFont="1" applyAlignment="1">
      <alignment horizontal="center"/>
    </xf>
    <xf numFmtId="0" fontId="29" fillId="0" borderId="35" xfId="0" applyFont="1" applyBorder="1" applyAlignment="1">
      <alignment horizontal="center"/>
    </xf>
    <xf numFmtId="166" fontId="23" fillId="0" borderId="35" xfId="0" applyNumberFormat="1" applyFont="1" applyFill="1" applyBorder="1" applyAlignment="1">
      <alignment horizontal="right" vertical="center" wrapText="1"/>
    </xf>
    <xf numFmtId="0" fontId="29" fillId="0" borderId="0" xfId="0" applyFont="1" applyFill="1" applyAlignment="1">
      <alignment horizontal="center" vertical="center"/>
    </xf>
    <xf numFmtId="17" fontId="20" fillId="0" borderId="3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64" fontId="2" fillId="0" borderId="35" xfId="0" applyNumberFormat="1" applyFont="1" applyFill="1" applyBorder="1" applyAlignment="1">
      <alignment horizontal="right" vertical="center"/>
    </xf>
    <xf numFmtId="164" fontId="3" fillId="0" borderId="35" xfId="0" applyNumberFormat="1" applyFont="1" applyFill="1" applyBorder="1" applyAlignment="1">
      <alignment horizontal="right" vertical="center"/>
    </xf>
    <xf numFmtId="164" fontId="6" fillId="0" borderId="35" xfId="0" applyNumberFormat="1" applyFont="1" applyBorder="1" applyAlignment="1">
      <alignment horizontal="right" vertical="center"/>
    </xf>
    <xf numFmtId="164" fontId="29" fillId="0" borderId="35" xfId="0" applyNumberFormat="1" applyFont="1" applyBorder="1" applyAlignment="1">
      <alignment horizontal="right" vertical="center"/>
    </xf>
    <xf numFmtId="164" fontId="8" fillId="0" borderId="35" xfId="0" applyNumberFormat="1" applyFont="1" applyBorder="1" applyAlignment="1">
      <alignment horizontal="right" vertical="center"/>
    </xf>
    <xf numFmtId="164" fontId="9" fillId="0" borderId="35" xfId="0" applyNumberFormat="1" applyFont="1" applyBorder="1" applyAlignment="1">
      <alignment horizontal="right" vertical="center"/>
    </xf>
    <xf numFmtId="164" fontId="10" fillId="0" borderId="35" xfId="0" applyNumberFormat="1" applyFont="1" applyBorder="1" applyAlignment="1">
      <alignment horizontal="right" vertical="center"/>
    </xf>
    <xf numFmtId="164" fontId="11" fillId="0" borderId="35" xfId="0" applyNumberFormat="1" applyFont="1" applyBorder="1" applyAlignment="1">
      <alignment horizontal="right" vertical="center"/>
    </xf>
    <xf numFmtId="164" fontId="13" fillId="0" borderId="35" xfId="0" applyNumberFormat="1" applyFont="1" applyBorder="1" applyAlignment="1">
      <alignment horizontal="right" vertical="center"/>
    </xf>
    <xf numFmtId="164" fontId="14" fillId="0" borderId="35" xfId="0" applyNumberFormat="1" applyFont="1" applyBorder="1" applyAlignment="1">
      <alignment horizontal="right" vertical="center"/>
    </xf>
    <xf numFmtId="164" fontId="15" fillId="0" borderId="35" xfId="0" applyNumberFormat="1" applyFont="1" applyBorder="1" applyAlignment="1">
      <alignment horizontal="right" vertical="center"/>
    </xf>
    <xf numFmtId="164" fontId="16" fillId="0" borderId="35" xfId="0" applyNumberFormat="1" applyFont="1" applyBorder="1" applyAlignment="1">
      <alignment horizontal="right" vertical="center"/>
    </xf>
    <xf numFmtId="164" fontId="17" fillId="0" borderId="35" xfId="0" applyNumberFormat="1" applyFont="1" applyBorder="1" applyAlignment="1">
      <alignment horizontal="right" vertical="center"/>
    </xf>
    <xf numFmtId="164" fontId="6" fillId="0" borderId="35" xfId="0" applyNumberFormat="1" applyFont="1" applyFill="1" applyBorder="1" applyAlignment="1" applyProtection="1">
      <alignment horizontal="right" vertical="center"/>
      <protection locked="0"/>
    </xf>
    <xf numFmtId="164" fontId="18" fillId="0" borderId="35" xfId="0" applyNumberFormat="1" applyFont="1" applyBorder="1" applyAlignment="1">
      <alignment horizontal="right" vertical="center"/>
    </xf>
    <xf numFmtId="164" fontId="19" fillId="0" borderId="35" xfId="0" applyNumberFormat="1" applyFont="1" applyBorder="1" applyAlignment="1">
      <alignment horizontal="right" vertical="center"/>
    </xf>
    <xf numFmtId="164" fontId="20" fillId="0" borderId="35" xfId="0" applyNumberFormat="1" applyFont="1" applyBorder="1" applyAlignment="1">
      <alignment horizontal="right" vertical="center"/>
    </xf>
    <xf numFmtId="164" fontId="25" fillId="0" borderId="35" xfId="0" applyNumberFormat="1" applyFont="1" applyBorder="1" applyAlignment="1">
      <alignment horizontal="right" vertical="center"/>
    </xf>
    <xf numFmtId="164" fontId="23" fillId="0" borderId="35" xfId="0" applyNumberFormat="1" applyFont="1" applyFill="1" applyBorder="1" applyAlignment="1" applyProtection="1">
      <alignment horizontal="right" vertical="center"/>
      <protection locked="0"/>
    </xf>
    <xf numFmtId="164" fontId="6" fillId="0" borderId="35" xfId="0" applyNumberFormat="1" applyFont="1" applyFill="1" applyBorder="1" applyAlignment="1" applyProtection="1">
      <alignment horizontal="right"/>
      <protection locked="0"/>
    </xf>
    <xf numFmtId="164" fontId="25" fillId="0" borderId="0" xfId="0" applyNumberFormat="1" applyFont="1" applyAlignment="1">
      <alignment horizontal="right" vertical="center"/>
    </xf>
    <xf numFmtId="0" fontId="29" fillId="0" borderId="35" xfId="0" applyNumberFormat="1" applyFont="1" applyFill="1" applyBorder="1" applyAlignment="1">
      <alignment horizontal="center" vertical="center"/>
    </xf>
    <xf numFmtId="0" fontId="1" fillId="0" borderId="34" xfId="0" applyFont="1" applyBorder="1" applyAlignment="1">
      <alignment vertical="center" wrapText="1"/>
    </xf>
    <xf numFmtId="0" fontId="1" fillId="0" borderId="35" xfId="0" applyFont="1" applyBorder="1" applyAlignment="1">
      <alignment vertical="center" wrapText="1"/>
    </xf>
    <xf numFmtId="166" fontId="4" fillId="0" borderId="35" xfId="0" applyNumberFormat="1" applyFont="1" applyBorder="1" applyAlignment="1">
      <alignment horizontal="right" vertical="center"/>
    </xf>
    <xf numFmtId="164" fontId="4" fillId="0" borderId="0" xfId="0" applyNumberFormat="1" applyFont="1"/>
    <xf numFmtId="0" fontId="41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41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41" fillId="0" borderId="15" xfId="0" applyNumberFormat="1" applyFont="1" applyFill="1" applyBorder="1" applyAlignment="1" applyProtection="1">
      <alignment horizontal="center" vertical="center" wrapText="1"/>
      <protection locked="0"/>
    </xf>
    <xf numFmtId="0" fontId="42" fillId="0" borderId="1" xfId="0" applyFont="1" applyFill="1" applyBorder="1" applyAlignment="1" applyProtection="1">
      <alignment horizontal="center" vertical="center" wrapText="1"/>
      <protection locked="0"/>
    </xf>
    <xf numFmtId="0" fontId="42" fillId="0" borderId="13" xfId="0" applyFont="1" applyFill="1" applyBorder="1" applyAlignment="1" applyProtection="1">
      <alignment horizontal="center" vertical="center" wrapText="1"/>
      <protection locked="0"/>
    </xf>
    <xf numFmtId="0" fontId="42" fillId="0" borderId="14" xfId="0" applyFont="1" applyFill="1" applyBorder="1" applyAlignment="1" applyProtection="1">
      <alignment horizontal="center" vertical="center" wrapText="1"/>
      <protection locked="0"/>
    </xf>
    <xf numFmtId="0" fontId="42" fillId="0" borderId="15" xfId="0" applyFont="1" applyFill="1" applyBorder="1" applyAlignment="1" applyProtection="1">
      <alignment horizontal="center" vertical="center" wrapText="1"/>
      <protection locked="0"/>
    </xf>
    <xf numFmtId="0" fontId="23" fillId="0" borderId="20" xfId="0" applyNumberFormat="1" applyFont="1" applyFill="1" applyBorder="1" applyAlignment="1">
      <alignment horizontal="center" vertical="center" wrapText="1"/>
    </xf>
    <xf numFmtId="0" fontId="34" fillId="0" borderId="16" xfId="0" applyNumberFormat="1" applyFont="1" applyFill="1" applyBorder="1" applyAlignment="1">
      <alignment horizontal="center" vertical="center"/>
    </xf>
    <xf numFmtId="0" fontId="34" fillId="0" borderId="10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21" fillId="0" borderId="17" xfId="0" applyNumberFormat="1" applyFont="1" applyFill="1" applyBorder="1" applyAlignment="1">
      <alignment horizontal="center" vertical="center" wrapText="1"/>
    </xf>
    <xf numFmtId="0" fontId="21" fillId="0" borderId="18" xfId="0" applyNumberFormat="1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0" fontId="36" fillId="0" borderId="13" xfId="0" applyNumberFormat="1" applyFont="1" applyFill="1" applyBorder="1" applyAlignment="1">
      <alignment horizontal="center" vertical="center"/>
    </xf>
    <xf numFmtId="0" fontId="36" fillId="0" borderId="14" xfId="0" applyNumberFormat="1" applyFont="1" applyFill="1" applyBorder="1" applyAlignment="1">
      <alignment horizontal="center" vertical="center"/>
    </xf>
    <xf numFmtId="0" fontId="36" fillId="0" borderId="15" xfId="0" applyNumberFormat="1" applyFont="1" applyFill="1" applyBorder="1" applyAlignment="1">
      <alignment horizontal="center" vertical="center"/>
    </xf>
    <xf numFmtId="0" fontId="36" fillId="0" borderId="9" xfId="0" applyNumberFormat="1" applyFont="1" applyFill="1" applyBorder="1" applyAlignment="1">
      <alignment horizontal="center" vertical="center" wrapText="1"/>
    </xf>
    <xf numFmtId="0" fontId="36" fillId="0" borderId="3" xfId="0" applyNumberFormat="1" applyFont="1" applyFill="1" applyBorder="1" applyAlignment="1">
      <alignment horizontal="center" vertical="center" wrapText="1"/>
    </xf>
    <xf numFmtId="0" fontId="36" fillId="0" borderId="4" xfId="0" applyNumberFormat="1" applyFont="1" applyFill="1" applyBorder="1" applyAlignment="1">
      <alignment horizontal="center"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31" xfId="0" applyFont="1" applyBorder="1" applyAlignment="1">
      <alignment horizontal="center" vertical="center" wrapText="1"/>
    </xf>
    <xf numFmtId="0" fontId="35" fillId="0" borderId="13" xfId="0" applyNumberFormat="1" applyFont="1" applyFill="1" applyBorder="1" applyAlignment="1">
      <alignment horizontal="center" vertical="center"/>
    </xf>
    <xf numFmtId="0" fontId="35" fillId="0" borderId="14" xfId="0" applyNumberFormat="1" applyFont="1" applyFill="1" applyBorder="1" applyAlignment="1">
      <alignment horizontal="center" vertical="center"/>
    </xf>
    <xf numFmtId="0" fontId="35" fillId="0" borderId="15" xfId="0" applyNumberFormat="1" applyFont="1" applyFill="1" applyBorder="1" applyAlignment="1">
      <alignment horizontal="center" vertical="center"/>
    </xf>
    <xf numFmtId="0" fontId="34" fillId="0" borderId="1" xfId="0" applyNumberFormat="1" applyFont="1" applyFill="1" applyBorder="1" applyAlignment="1">
      <alignment horizontal="center" vertical="center"/>
    </xf>
    <xf numFmtId="0" fontId="35" fillId="0" borderId="9" xfId="0" applyNumberFormat="1" applyFont="1" applyFill="1" applyBorder="1" applyAlignment="1">
      <alignment horizontal="center" vertical="center" wrapText="1"/>
    </xf>
    <xf numFmtId="0" fontId="35" fillId="0" borderId="3" xfId="0" applyNumberFormat="1" applyFont="1" applyFill="1" applyBorder="1" applyAlignment="1">
      <alignment horizontal="center" vertical="center" wrapText="1"/>
    </xf>
    <xf numFmtId="0" fontId="35" fillId="0" borderId="4" xfId="0" applyNumberFormat="1" applyFont="1" applyFill="1" applyBorder="1" applyAlignment="1">
      <alignment horizontal="center" vertical="center" wrapText="1"/>
    </xf>
    <xf numFmtId="0" fontId="36" fillId="0" borderId="1" xfId="0" applyNumberFormat="1" applyFont="1" applyFill="1" applyBorder="1" applyAlignment="1">
      <alignment horizontal="center" vertical="center"/>
    </xf>
    <xf numFmtId="0" fontId="35" fillId="0" borderId="1" xfId="0" applyNumberFormat="1" applyFont="1" applyFill="1" applyBorder="1" applyAlignment="1">
      <alignment horizontal="center" vertical="center"/>
    </xf>
    <xf numFmtId="0" fontId="12" fillId="0" borderId="36" xfId="0" applyFont="1" applyBorder="1" applyAlignment="1">
      <alignment horizontal="center" vertical="center" wrapText="1"/>
    </xf>
    <xf numFmtId="0" fontId="12" fillId="0" borderId="37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35" xfId="0" applyNumberFormat="1" applyFont="1" applyFill="1" applyBorder="1" applyAlignment="1">
      <alignment horizontal="center" vertical="center"/>
    </xf>
    <xf numFmtId="0" fontId="29" fillId="0" borderId="35" xfId="0" applyFont="1" applyFill="1" applyBorder="1" applyAlignment="1">
      <alignment horizontal="center" vertical="center"/>
    </xf>
  </cellXfs>
  <cellStyles count="28">
    <cellStyle name="Comma" xfId="1" builtinId="3"/>
    <cellStyle name="Comma 2" xfId="4"/>
    <cellStyle name="Hyperlink 2" xfId="5"/>
    <cellStyle name="Normal" xfId="0" builtinId="0"/>
    <cellStyle name="Normal 10" xfId="13"/>
    <cellStyle name="Normal 11" xfId="14"/>
    <cellStyle name="Normal 12" xfId="15"/>
    <cellStyle name="Normal 13" xfId="16"/>
    <cellStyle name="Normal 14" xfId="17"/>
    <cellStyle name="Normal 15" xfId="18"/>
    <cellStyle name="Normal 16" xfId="19"/>
    <cellStyle name="Normal 17" xfId="20"/>
    <cellStyle name="Normal 18" xfId="21"/>
    <cellStyle name="Normal 19" xfId="22"/>
    <cellStyle name="Normal 2" xfId="3"/>
    <cellStyle name="Normal 20" xfId="23"/>
    <cellStyle name="Normal 21" xfId="24"/>
    <cellStyle name="Normal 22" xfId="25"/>
    <cellStyle name="Normal 23" xfId="26"/>
    <cellStyle name="Normal 24" xfId="27"/>
    <cellStyle name="Normal 3" xfId="2"/>
    <cellStyle name="Normal 4" xfId="7"/>
    <cellStyle name="Normal 5" xfId="8"/>
    <cellStyle name="Normal 6" xfId="9"/>
    <cellStyle name="Normal 7" xfId="10"/>
    <cellStyle name="Normal 8" xfId="11"/>
    <cellStyle name="Normal 9" xfId="12"/>
    <cellStyle name="Percent 2" xfId="6"/>
  </cellStyles>
  <dxfs count="0"/>
  <tableStyles count="0" defaultTableStyle="TableStyleMedium9" defaultPivotStyle="PivotStyleLight16"/>
  <colors>
    <mruColors>
      <color rgb="FFD355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TT"/>
              <a:t>Navet</a:t>
            </a:r>
            <a:r>
              <a:rPr lang="en-TT" baseline="0"/>
              <a:t> Reservoir Rainfall Comparison</a:t>
            </a:r>
            <a:endParaRPr lang="en-T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01561266159782"/>
          <c:y val="0.12237751004016068"/>
          <c:w val="0.88398438733840223"/>
          <c:h val="0.69997305758466943"/>
        </c:manualLayout>
      </c:layout>
      <c:barChart>
        <c:barDir val="col"/>
        <c:grouping val="clustered"/>
        <c:varyColors val="0"/>
        <c:ser>
          <c:idx val="3"/>
          <c:order val="1"/>
          <c:tx>
            <c:strRef>
              <c:f>'Rainfall Graphs'!$I$2</c:f>
              <c:strCache>
                <c:ptCount val="1"/>
                <c:pt idx="0">
                  <c:v>Actual Forecast (mm)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'Rainfall Graphs'!$I$3:$I$14</c:f>
              <c:numCache>
                <c:formatCode>0.0</c:formatCode>
                <c:ptCount val="12"/>
                <c:pt idx="0">
                  <c:v>155.6</c:v>
                </c:pt>
                <c:pt idx="1">
                  <c:v>212</c:v>
                </c:pt>
                <c:pt idx="2">
                  <c:v>306</c:v>
                </c:pt>
                <c:pt idx="3">
                  <c:v>274</c:v>
                </c:pt>
                <c:pt idx="4">
                  <c:v>149.1</c:v>
                </c:pt>
                <c:pt idx="5">
                  <c:v>84</c:v>
                </c:pt>
                <c:pt idx="6">
                  <c:v>68</c:v>
                </c:pt>
                <c:pt idx="7">
                  <c:v>48</c:v>
                </c:pt>
                <c:pt idx="8">
                  <c:v>88</c:v>
                </c:pt>
                <c:pt idx="9">
                  <c:v>297</c:v>
                </c:pt>
                <c:pt idx="10">
                  <c:v>198</c:v>
                </c:pt>
                <c:pt idx="11">
                  <c:v>237</c:v>
                </c:pt>
              </c:numCache>
            </c:numRef>
          </c:val>
          <c:extLst/>
        </c:ser>
        <c:ser>
          <c:idx val="0"/>
          <c:order val="2"/>
          <c:tx>
            <c:strRef>
              <c:f>'Rainfall Graphs'!$J$2</c:f>
              <c:strCache>
                <c:ptCount val="1"/>
                <c:pt idx="0">
                  <c:v>Actual Rainfall (mm)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val>
            <c:numRef>
              <c:f>'Rainfall Graphs'!$J$3:$J$14</c:f>
              <c:numCache>
                <c:formatCode>0.0</c:formatCode>
                <c:ptCount val="12"/>
                <c:pt idx="0">
                  <c:v>234.8</c:v>
                </c:pt>
                <c:pt idx="1">
                  <c:v>533.4</c:v>
                </c:pt>
                <c:pt idx="2">
                  <c:v>207.4</c:v>
                </c:pt>
                <c:pt idx="3">
                  <c:v>467.4</c:v>
                </c:pt>
                <c:pt idx="4">
                  <c:v>168.4</c:v>
                </c:pt>
                <c:pt idx="5">
                  <c:v>82.8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572336"/>
        <c:axId val="344572728"/>
      </c:barChart>
      <c:lineChart>
        <c:grouping val="standard"/>
        <c:varyColors val="0"/>
        <c:ser>
          <c:idx val="2"/>
          <c:order val="0"/>
          <c:tx>
            <c:strRef>
              <c:f>'Rainfall Graphs'!$K$2</c:f>
              <c:strCache>
                <c:ptCount val="1"/>
                <c:pt idx="0">
                  <c:v>Average Rainfall (81' - 10') (mm)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'Rainfall Graphs'!$H$3:$H$14</c:f>
              <c:numCache>
                <c:formatCode>mmm\-yy</c:formatCode>
                <c:ptCount val="12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>
                  <c:v>43070</c:v>
                </c:pt>
                <c:pt idx="4">
                  <c:v>43101</c:v>
                </c:pt>
                <c:pt idx="5">
                  <c:v>43132</c:v>
                </c:pt>
                <c:pt idx="6">
                  <c:v>43160</c:v>
                </c:pt>
                <c:pt idx="7">
                  <c:v>43191</c:v>
                </c:pt>
                <c:pt idx="8">
                  <c:v>43221</c:v>
                </c:pt>
                <c:pt idx="9">
                  <c:v>43252</c:v>
                </c:pt>
                <c:pt idx="10">
                  <c:v>43282</c:v>
                </c:pt>
                <c:pt idx="11">
                  <c:v>43313</c:v>
                </c:pt>
              </c:numCache>
            </c:numRef>
          </c:cat>
          <c:val>
            <c:numRef>
              <c:f>'Rainfall Graphs'!$K$3:$K$14</c:f>
              <c:numCache>
                <c:formatCode>0.0</c:formatCode>
                <c:ptCount val="12"/>
                <c:pt idx="0">
                  <c:v>222.8</c:v>
                </c:pt>
                <c:pt idx="1">
                  <c:v>226</c:v>
                </c:pt>
                <c:pt idx="2">
                  <c:v>299.2</c:v>
                </c:pt>
                <c:pt idx="3">
                  <c:v>231.6</c:v>
                </c:pt>
                <c:pt idx="4">
                  <c:v>122.3</c:v>
                </c:pt>
                <c:pt idx="5">
                  <c:v>80.400000000000006</c:v>
                </c:pt>
                <c:pt idx="6">
                  <c:v>52.1</c:v>
                </c:pt>
                <c:pt idx="7">
                  <c:v>67.599999999999994</c:v>
                </c:pt>
                <c:pt idx="8">
                  <c:v>147.19999999999999</c:v>
                </c:pt>
                <c:pt idx="9">
                  <c:v>288</c:v>
                </c:pt>
                <c:pt idx="10">
                  <c:v>296</c:v>
                </c:pt>
                <c:pt idx="11">
                  <c:v>268.8</c:v>
                </c:pt>
              </c:numCache>
            </c:numRef>
          </c:val>
          <c:smooth val="0"/>
          <c:extLst/>
        </c:ser>
        <c:ser>
          <c:idx val="1"/>
          <c:order val="3"/>
          <c:tx>
            <c:strRef>
              <c:f>'Rainfall Graphs'!$L$2</c:f>
              <c:strCache>
                <c:ptCount val="1"/>
                <c:pt idx="0">
                  <c:v>Lower Threshold Forecast (mm)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'Rainfall Graphs'!$H$3:$H$14</c:f>
              <c:numCache>
                <c:formatCode>mmm\-yy</c:formatCode>
                <c:ptCount val="12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>
                  <c:v>43070</c:v>
                </c:pt>
                <c:pt idx="4">
                  <c:v>43101</c:v>
                </c:pt>
                <c:pt idx="5">
                  <c:v>43132</c:v>
                </c:pt>
                <c:pt idx="6">
                  <c:v>43160</c:v>
                </c:pt>
                <c:pt idx="7">
                  <c:v>43191</c:v>
                </c:pt>
                <c:pt idx="8">
                  <c:v>43221</c:v>
                </c:pt>
                <c:pt idx="9">
                  <c:v>43252</c:v>
                </c:pt>
                <c:pt idx="10">
                  <c:v>43282</c:v>
                </c:pt>
                <c:pt idx="11">
                  <c:v>43313</c:v>
                </c:pt>
              </c:numCache>
            </c:numRef>
          </c:cat>
          <c:val>
            <c:numRef>
              <c:f>'Rainfall Graphs'!$L$3:$L$14</c:f>
              <c:numCache>
                <c:formatCode>0.0</c:formatCode>
                <c:ptCount val="12"/>
                <c:pt idx="0">
                  <c:v>102.6</c:v>
                </c:pt>
                <c:pt idx="1">
                  <c:v>135</c:v>
                </c:pt>
                <c:pt idx="2">
                  <c:v>207</c:v>
                </c:pt>
                <c:pt idx="3">
                  <c:v>227</c:v>
                </c:pt>
                <c:pt idx="4">
                  <c:v>75.3</c:v>
                </c:pt>
                <c:pt idx="5">
                  <c:v>35</c:v>
                </c:pt>
                <c:pt idx="6">
                  <c:v>33</c:v>
                </c:pt>
                <c:pt idx="7">
                  <c:v>23</c:v>
                </c:pt>
                <c:pt idx="8">
                  <c:v>43</c:v>
                </c:pt>
                <c:pt idx="9">
                  <c:v>181</c:v>
                </c:pt>
                <c:pt idx="10">
                  <c:v>98</c:v>
                </c:pt>
                <c:pt idx="11">
                  <c:v>143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72336"/>
        <c:axId val="344572728"/>
      </c:lineChart>
      <c:catAx>
        <c:axId val="34457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72728"/>
        <c:crosses val="autoZero"/>
        <c:auto val="1"/>
        <c:lblAlgn val="ctr"/>
        <c:lblOffset val="100"/>
        <c:noMultiLvlLbl val="0"/>
      </c:catAx>
      <c:valAx>
        <c:axId val="34457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7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740813648293964E-2"/>
          <c:y val="0.8951649673598493"/>
          <c:w val="0.96494149168853893"/>
          <c:h val="8.61384514435695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TT"/>
              <a:t>Hillsborough</a:t>
            </a:r>
            <a:r>
              <a:rPr lang="en-TT" baseline="0"/>
              <a:t> Reservoir Rainfall Comparison</a:t>
            </a:r>
            <a:endParaRPr lang="en-T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1"/>
          <c:tx>
            <c:strRef>
              <c:f>'Rainfall Graphs'!$I$47</c:f>
              <c:strCache>
                <c:ptCount val="1"/>
                <c:pt idx="0">
                  <c:v>Actual Forecast (mm)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'Rainfall Graphs'!$I$48:$I$59</c:f>
              <c:numCache>
                <c:formatCode>0.0</c:formatCode>
                <c:ptCount val="12"/>
                <c:pt idx="0">
                  <c:v>200.8</c:v>
                </c:pt>
                <c:pt idx="1">
                  <c:v>300</c:v>
                </c:pt>
                <c:pt idx="2">
                  <c:v>358</c:v>
                </c:pt>
                <c:pt idx="3">
                  <c:v>341</c:v>
                </c:pt>
                <c:pt idx="4">
                  <c:v>166.7</c:v>
                </c:pt>
                <c:pt idx="5">
                  <c:v>76</c:v>
                </c:pt>
                <c:pt idx="6">
                  <c:v>72</c:v>
                </c:pt>
                <c:pt idx="7">
                  <c:v>74</c:v>
                </c:pt>
                <c:pt idx="8">
                  <c:v>56</c:v>
                </c:pt>
                <c:pt idx="9">
                  <c:v>208</c:v>
                </c:pt>
                <c:pt idx="10">
                  <c:v>178</c:v>
                </c:pt>
                <c:pt idx="11">
                  <c:v>256</c:v>
                </c:pt>
              </c:numCache>
            </c:numRef>
          </c:val>
          <c:extLst/>
        </c:ser>
        <c:ser>
          <c:idx val="0"/>
          <c:order val="2"/>
          <c:tx>
            <c:strRef>
              <c:f>'Rainfall Graphs'!$J$47</c:f>
              <c:strCache>
                <c:ptCount val="1"/>
                <c:pt idx="0">
                  <c:v>Actual Rainfall (mm)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val>
            <c:numRef>
              <c:f>'Rainfall Graphs'!$J$48:$J$59</c:f>
              <c:numCache>
                <c:formatCode>0.0</c:formatCode>
                <c:ptCount val="12"/>
                <c:pt idx="0">
                  <c:v>209.4</c:v>
                </c:pt>
                <c:pt idx="1">
                  <c:v>481.5</c:v>
                </c:pt>
                <c:pt idx="2">
                  <c:v>323.8</c:v>
                </c:pt>
                <c:pt idx="3">
                  <c:v>316.8</c:v>
                </c:pt>
                <c:pt idx="4">
                  <c:v>237.8</c:v>
                </c:pt>
                <c:pt idx="5">
                  <c:v>150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573512"/>
        <c:axId val="344573904"/>
      </c:barChart>
      <c:lineChart>
        <c:grouping val="standard"/>
        <c:varyColors val="0"/>
        <c:ser>
          <c:idx val="2"/>
          <c:order val="0"/>
          <c:tx>
            <c:strRef>
              <c:f>'Rainfall Graphs'!$K$47</c:f>
              <c:strCache>
                <c:ptCount val="1"/>
                <c:pt idx="0">
                  <c:v>Average Rainfall (81' - 10') (mm)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'Rainfall Graphs'!$H$48:$H$59</c:f>
              <c:numCache>
                <c:formatCode>mmm\-yy</c:formatCode>
                <c:ptCount val="12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>
                  <c:v>43070</c:v>
                </c:pt>
                <c:pt idx="4">
                  <c:v>43101</c:v>
                </c:pt>
                <c:pt idx="5">
                  <c:v>43132</c:v>
                </c:pt>
                <c:pt idx="6">
                  <c:v>43160</c:v>
                </c:pt>
                <c:pt idx="7">
                  <c:v>43191</c:v>
                </c:pt>
                <c:pt idx="8">
                  <c:v>43221</c:v>
                </c:pt>
                <c:pt idx="9">
                  <c:v>43252</c:v>
                </c:pt>
                <c:pt idx="10">
                  <c:v>43282</c:v>
                </c:pt>
                <c:pt idx="11">
                  <c:v>43313</c:v>
                </c:pt>
              </c:numCache>
            </c:numRef>
          </c:cat>
          <c:val>
            <c:numRef>
              <c:f>'Rainfall Graphs'!$K$48:$K$59</c:f>
              <c:numCache>
                <c:formatCode>0.0</c:formatCode>
                <c:ptCount val="12"/>
                <c:pt idx="0">
                  <c:v>238.6</c:v>
                </c:pt>
                <c:pt idx="1">
                  <c:v>279.3</c:v>
                </c:pt>
                <c:pt idx="2">
                  <c:v>341.7</c:v>
                </c:pt>
                <c:pt idx="3">
                  <c:v>231.6</c:v>
                </c:pt>
                <c:pt idx="4">
                  <c:v>113.2</c:v>
                </c:pt>
                <c:pt idx="5">
                  <c:v>81.2</c:v>
                </c:pt>
                <c:pt idx="6">
                  <c:v>51.9</c:v>
                </c:pt>
                <c:pt idx="7">
                  <c:v>67.599999999999994</c:v>
                </c:pt>
                <c:pt idx="8">
                  <c:v>131.19999999999999</c:v>
                </c:pt>
                <c:pt idx="9">
                  <c:v>244</c:v>
                </c:pt>
                <c:pt idx="10">
                  <c:v>233.9</c:v>
                </c:pt>
                <c:pt idx="11">
                  <c:v>234.1</c:v>
                </c:pt>
              </c:numCache>
            </c:numRef>
          </c:val>
          <c:smooth val="0"/>
          <c:extLst/>
        </c:ser>
        <c:ser>
          <c:idx val="1"/>
          <c:order val="3"/>
          <c:tx>
            <c:strRef>
              <c:f>'Rainfall Graphs'!$L$47</c:f>
              <c:strCache>
                <c:ptCount val="1"/>
                <c:pt idx="0">
                  <c:v>Lower Threshold Forecast (mm)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'Rainfall Graphs'!$H$48:$H$59</c:f>
              <c:numCache>
                <c:formatCode>mmm\-yy</c:formatCode>
                <c:ptCount val="12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>
                  <c:v>43070</c:v>
                </c:pt>
                <c:pt idx="4">
                  <c:v>43101</c:v>
                </c:pt>
                <c:pt idx="5">
                  <c:v>43132</c:v>
                </c:pt>
                <c:pt idx="6">
                  <c:v>43160</c:v>
                </c:pt>
                <c:pt idx="7">
                  <c:v>43191</c:v>
                </c:pt>
                <c:pt idx="8">
                  <c:v>43221</c:v>
                </c:pt>
                <c:pt idx="9">
                  <c:v>43252</c:v>
                </c:pt>
                <c:pt idx="10">
                  <c:v>43282</c:v>
                </c:pt>
                <c:pt idx="11">
                  <c:v>43313</c:v>
                </c:pt>
              </c:numCache>
            </c:numRef>
          </c:cat>
          <c:val>
            <c:numRef>
              <c:f>'Rainfall Graphs'!$L$48:$L$59</c:f>
              <c:numCache>
                <c:formatCode>0.0</c:formatCode>
                <c:ptCount val="12"/>
                <c:pt idx="0">
                  <c:v>96.1</c:v>
                </c:pt>
                <c:pt idx="1">
                  <c:v>214</c:v>
                </c:pt>
                <c:pt idx="2">
                  <c:v>247</c:v>
                </c:pt>
                <c:pt idx="3">
                  <c:v>185</c:v>
                </c:pt>
                <c:pt idx="4">
                  <c:v>84.3</c:v>
                </c:pt>
                <c:pt idx="5">
                  <c:v>38</c:v>
                </c:pt>
                <c:pt idx="6">
                  <c:v>34</c:v>
                </c:pt>
                <c:pt idx="7">
                  <c:v>31</c:v>
                </c:pt>
                <c:pt idx="8">
                  <c:v>24</c:v>
                </c:pt>
                <c:pt idx="9">
                  <c:v>142</c:v>
                </c:pt>
                <c:pt idx="10">
                  <c:v>75</c:v>
                </c:pt>
                <c:pt idx="11">
                  <c:v>202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73512"/>
        <c:axId val="344573904"/>
      </c:lineChart>
      <c:catAx>
        <c:axId val="344573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73904"/>
        <c:crosses val="autoZero"/>
        <c:auto val="1"/>
        <c:lblAlgn val="ctr"/>
        <c:lblOffset val="100"/>
        <c:noMultiLvlLbl val="0"/>
      </c:catAx>
      <c:valAx>
        <c:axId val="34457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73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908136482939643E-2"/>
          <c:y val="0.87710767479366281"/>
          <c:w val="0.91119614346201006"/>
          <c:h val="0.10361521677260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TT"/>
              <a:t>Hollis </a:t>
            </a:r>
            <a:r>
              <a:rPr lang="en-TT" baseline="0"/>
              <a:t>Reservoir Rainfall Comparison</a:t>
            </a:r>
            <a:endParaRPr lang="en-T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73385525949657"/>
          <c:y val="0.11916465863453816"/>
          <c:w val="0.88398438733840223"/>
          <c:h val="0.69997305758466943"/>
        </c:manualLayout>
      </c:layout>
      <c:barChart>
        <c:barDir val="col"/>
        <c:grouping val="clustered"/>
        <c:varyColors val="0"/>
        <c:ser>
          <c:idx val="3"/>
          <c:order val="1"/>
          <c:tx>
            <c:strRef>
              <c:f>'Rainfall Graphs'!$B$47</c:f>
              <c:strCache>
                <c:ptCount val="1"/>
                <c:pt idx="0">
                  <c:v>Actual Forecast (mm)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'Rainfall Graphs'!$B$48:$B$59</c:f>
              <c:numCache>
                <c:formatCode>0.0</c:formatCode>
                <c:ptCount val="12"/>
                <c:pt idx="0">
                  <c:v>195.4</c:v>
                </c:pt>
                <c:pt idx="1">
                  <c:v>290</c:v>
                </c:pt>
                <c:pt idx="2">
                  <c:v>418</c:v>
                </c:pt>
                <c:pt idx="3">
                  <c:v>350</c:v>
                </c:pt>
                <c:pt idx="4">
                  <c:v>206.5</c:v>
                </c:pt>
                <c:pt idx="5">
                  <c:v>116</c:v>
                </c:pt>
                <c:pt idx="6">
                  <c:v>110</c:v>
                </c:pt>
                <c:pt idx="7">
                  <c:v>92</c:v>
                </c:pt>
                <c:pt idx="8">
                  <c:v>94</c:v>
                </c:pt>
                <c:pt idx="9">
                  <c:v>335</c:v>
                </c:pt>
                <c:pt idx="10">
                  <c:v>344</c:v>
                </c:pt>
                <c:pt idx="11">
                  <c:v>356</c:v>
                </c:pt>
              </c:numCache>
            </c:numRef>
          </c:val>
          <c:extLst/>
        </c:ser>
        <c:ser>
          <c:idx val="0"/>
          <c:order val="2"/>
          <c:tx>
            <c:strRef>
              <c:f>'Rainfall Graphs'!$C$47</c:f>
              <c:strCache>
                <c:ptCount val="1"/>
                <c:pt idx="0">
                  <c:v>Actual Rainfall (mm)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val>
            <c:numRef>
              <c:f>'Rainfall Graphs'!$C$48:$C$59</c:f>
              <c:numCache>
                <c:formatCode>0.0</c:formatCode>
                <c:ptCount val="12"/>
                <c:pt idx="0">
                  <c:v>278.5</c:v>
                </c:pt>
                <c:pt idx="1">
                  <c:v>738.5</c:v>
                </c:pt>
                <c:pt idx="2">
                  <c:v>233</c:v>
                </c:pt>
                <c:pt idx="3">
                  <c:v>536</c:v>
                </c:pt>
                <c:pt idx="4">
                  <c:v>243.2</c:v>
                </c:pt>
                <c:pt idx="5">
                  <c:v>128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513200"/>
        <c:axId val="342513592"/>
      </c:barChart>
      <c:lineChart>
        <c:grouping val="standard"/>
        <c:varyColors val="0"/>
        <c:ser>
          <c:idx val="2"/>
          <c:order val="0"/>
          <c:tx>
            <c:strRef>
              <c:f>'Rainfall Graphs'!$D$47</c:f>
              <c:strCache>
                <c:ptCount val="1"/>
                <c:pt idx="0">
                  <c:v>Average Rainfall (81' - 10') (mm)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'Rainfall Graphs'!$A$48:$A$59</c:f>
              <c:numCache>
                <c:formatCode>mmm\-yy</c:formatCode>
                <c:ptCount val="12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>
                  <c:v>43070</c:v>
                </c:pt>
                <c:pt idx="4">
                  <c:v>43101</c:v>
                </c:pt>
                <c:pt idx="5">
                  <c:v>43132</c:v>
                </c:pt>
                <c:pt idx="6">
                  <c:v>43160</c:v>
                </c:pt>
                <c:pt idx="7">
                  <c:v>43191</c:v>
                </c:pt>
                <c:pt idx="8">
                  <c:v>43221</c:v>
                </c:pt>
                <c:pt idx="9">
                  <c:v>43252</c:v>
                </c:pt>
                <c:pt idx="10">
                  <c:v>43282</c:v>
                </c:pt>
                <c:pt idx="11">
                  <c:v>43313</c:v>
                </c:pt>
              </c:numCache>
            </c:numRef>
          </c:cat>
          <c:val>
            <c:numRef>
              <c:f>'Rainfall Graphs'!$D$48:$D$59</c:f>
              <c:numCache>
                <c:formatCode>0.0</c:formatCode>
                <c:ptCount val="12"/>
                <c:pt idx="0">
                  <c:v>267.10000000000002</c:v>
                </c:pt>
                <c:pt idx="1">
                  <c:v>308.60000000000002</c:v>
                </c:pt>
                <c:pt idx="2">
                  <c:v>396</c:v>
                </c:pt>
                <c:pt idx="3">
                  <c:v>281.3</c:v>
                </c:pt>
                <c:pt idx="4">
                  <c:v>162.1</c:v>
                </c:pt>
                <c:pt idx="5">
                  <c:v>109.4</c:v>
                </c:pt>
                <c:pt idx="6">
                  <c:v>89.8</c:v>
                </c:pt>
                <c:pt idx="7">
                  <c:v>105.1</c:v>
                </c:pt>
                <c:pt idx="8">
                  <c:v>196.9</c:v>
                </c:pt>
                <c:pt idx="9">
                  <c:v>355.1</c:v>
                </c:pt>
                <c:pt idx="10">
                  <c:v>347.6</c:v>
                </c:pt>
                <c:pt idx="11">
                  <c:v>349.2</c:v>
                </c:pt>
              </c:numCache>
            </c:numRef>
          </c:val>
          <c:smooth val="0"/>
          <c:extLst/>
        </c:ser>
        <c:ser>
          <c:idx val="1"/>
          <c:order val="3"/>
          <c:tx>
            <c:strRef>
              <c:f>'Rainfall Graphs'!$E$47</c:f>
              <c:strCache>
                <c:ptCount val="1"/>
                <c:pt idx="0">
                  <c:v>Lower Threshold Forecast (mm)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'Rainfall Graphs'!$A$48:$A$59</c:f>
              <c:numCache>
                <c:formatCode>mmm\-yy</c:formatCode>
                <c:ptCount val="12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>
                  <c:v>43070</c:v>
                </c:pt>
                <c:pt idx="4">
                  <c:v>43101</c:v>
                </c:pt>
                <c:pt idx="5">
                  <c:v>43132</c:v>
                </c:pt>
                <c:pt idx="6">
                  <c:v>43160</c:v>
                </c:pt>
                <c:pt idx="7">
                  <c:v>43191</c:v>
                </c:pt>
                <c:pt idx="8">
                  <c:v>43221</c:v>
                </c:pt>
                <c:pt idx="9">
                  <c:v>43252</c:v>
                </c:pt>
                <c:pt idx="10">
                  <c:v>43282</c:v>
                </c:pt>
                <c:pt idx="11">
                  <c:v>43313</c:v>
                </c:pt>
              </c:numCache>
            </c:numRef>
          </c:cat>
          <c:val>
            <c:numRef>
              <c:f>'Rainfall Graphs'!$E$48:$E$59</c:f>
              <c:numCache>
                <c:formatCode>0.0</c:formatCode>
                <c:ptCount val="12"/>
                <c:pt idx="0">
                  <c:v>89.9</c:v>
                </c:pt>
                <c:pt idx="1">
                  <c:v>207</c:v>
                </c:pt>
                <c:pt idx="2">
                  <c:v>253</c:v>
                </c:pt>
                <c:pt idx="3">
                  <c:v>266</c:v>
                </c:pt>
                <c:pt idx="4">
                  <c:v>115.5</c:v>
                </c:pt>
                <c:pt idx="5">
                  <c:v>64</c:v>
                </c:pt>
                <c:pt idx="6">
                  <c:v>64</c:v>
                </c:pt>
                <c:pt idx="7">
                  <c:v>32</c:v>
                </c:pt>
                <c:pt idx="8">
                  <c:v>32</c:v>
                </c:pt>
                <c:pt idx="9">
                  <c:v>237</c:v>
                </c:pt>
                <c:pt idx="10">
                  <c:v>202</c:v>
                </c:pt>
                <c:pt idx="11">
                  <c:v>222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513200"/>
        <c:axId val="342513592"/>
      </c:lineChart>
      <c:catAx>
        <c:axId val="34251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13592"/>
        <c:crosses val="autoZero"/>
        <c:auto val="1"/>
        <c:lblAlgn val="ctr"/>
        <c:lblOffset val="100"/>
        <c:noMultiLvlLbl val="0"/>
      </c:catAx>
      <c:valAx>
        <c:axId val="34251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1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4804461942257224E-2"/>
          <c:y val="0.89783590753078946"/>
          <c:w val="0.90742811315252259"/>
          <c:h val="8.6138451443569547E-2"/>
        </c:manualLayout>
      </c:layout>
      <c:overlay val="0"/>
      <c:spPr>
        <a:noFill/>
        <a:ln>
          <a:solidFill>
            <a:schemeClr val="bg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TT" baseline="0"/>
              <a:t>Caroni Reservoir Rainfall Comparison</a:t>
            </a:r>
            <a:endParaRPr lang="en-T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654513888888892E-2"/>
          <c:y val="0.12237756502028156"/>
          <c:w val="0.88398438733840223"/>
          <c:h val="0.69997305758466943"/>
        </c:manualLayout>
      </c:layout>
      <c:barChart>
        <c:barDir val="col"/>
        <c:grouping val="clustered"/>
        <c:varyColors val="0"/>
        <c:ser>
          <c:idx val="3"/>
          <c:order val="1"/>
          <c:tx>
            <c:strRef>
              <c:f>'Rainfall Graphs'!$B$2</c:f>
              <c:strCache>
                <c:ptCount val="1"/>
                <c:pt idx="0">
                  <c:v>Actual Forecast (mm)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'Rainfall Graphs'!$B$3:$B$14</c:f>
              <c:numCache>
                <c:formatCode>0.0</c:formatCode>
                <c:ptCount val="12"/>
                <c:pt idx="0">
                  <c:v>132.30000000000001</c:v>
                </c:pt>
                <c:pt idx="1">
                  <c:v>208</c:v>
                </c:pt>
                <c:pt idx="2">
                  <c:v>265</c:v>
                </c:pt>
                <c:pt idx="3">
                  <c:v>308</c:v>
                </c:pt>
                <c:pt idx="4">
                  <c:v>158</c:v>
                </c:pt>
                <c:pt idx="5">
                  <c:v>85</c:v>
                </c:pt>
                <c:pt idx="6">
                  <c:v>62</c:v>
                </c:pt>
                <c:pt idx="7">
                  <c:v>56</c:v>
                </c:pt>
                <c:pt idx="8">
                  <c:v>70</c:v>
                </c:pt>
                <c:pt idx="9">
                  <c:v>279</c:v>
                </c:pt>
                <c:pt idx="10">
                  <c:v>265</c:v>
                </c:pt>
                <c:pt idx="11">
                  <c:v>250</c:v>
                </c:pt>
              </c:numCache>
            </c:numRef>
          </c:val>
          <c:extLst/>
        </c:ser>
        <c:ser>
          <c:idx val="0"/>
          <c:order val="2"/>
          <c:tx>
            <c:strRef>
              <c:f>'Rainfall Graphs'!$C$2</c:f>
              <c:strCache>
                <c:ptCount val="1"/>
                <c:pt idx="0">
                  <c:v>Actual Rainfall (mm)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val>
            <c:numRef>
              <c:f>'Rainfall Graphs'!$C$3:$C$14</c:f>
              <c:numCache>
                <c:formatCode>0.0</c:formatCode>
                <c:ptCount val="12"/>
                <c:pt idx="0">
                  <c:v>226.6</c:v>
                </c:pt>
                <c:pt idx="1">
                  <c:v>541.20000000000005</c:v>
                </c:pt>
                <c:pt idx="2">
                  <c:v>148</c:v>
                </c:pt>
                <c:pt idx="3">
                  <c:v>401.2</c:v>
                </c:pt>
                <c:pt idx="4">
                  <c:v>155.4</c:v>
                </c:pt>
                <c:pt idx="5">
                  <c:v>100.6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515944"/>
        <c:axId val="342516336"/>
      </c:barChart>
      <c:lineChart>
        <c:grouping val="standard"/>
        <c:varyColors val="0"/>
        <c:ser>
          <c:idx val="2"/>
          <c:order val="0"/>
          <c:tx>
            <c:strRef>
              <c:f>'Rainfall Graphs'!$D$2</c:f>
              <c:strCache>
                <c:ptCount val="1"/>
                <c:pt idx="0">
                  <c:v>Average Rainfall (85' - 04') (mm)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'Rainfall Graphs'!$A$3:$A$14</c:f>
              <c:numCache>
                <c:formatCode>mmm\-yy</c:formatCode>
                <c:ptCount val="12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>
                  <c:v>43070</c:v>
                </c:pt>
                <c:pt idx="4">
                  <c:v>43101</c:v>
                </c:pt>
                <c:pt idx="5">
                  <c:v>43132</c:v>
                </c:pt>
                <c:pt idx="6">
                  <c:v>43160</c:v>
                </c:pt>
                <c:pt idx="7">
                  <c:v>43191</c:v>
                </c:pt>
                <c:pt idx="8">
                  <c:v>43221</c:v>
                </c:pt>
                <c:pt idx="9">
                  <c:v>43252</c:v>
                </c:pt>
                <c:pt idx="10">
                  <c:v>43282</c:v>
                </c:pt>
                <c:pt idx="11">
                  <c:v>43313</c:v>
                </c:pt>
              </c:numCache>
            </c:numRef>
          </c:cat>
          <c:val>
            <c:numRef>
              <c:f>'Rainfall Graphs'!$D$3:$D$14</c:f>
              <c:numCache>
                <c:formatCode>0.0</c:formatCode>
                <c:ptCount val="12"/>
                <c:pt idx="0">
                  <c:v>233.7</c:v>
                </c:pt>
                <c:pt idx="1">
                  <c:v>205.2</c:v>
                </c:pt>
                <c:pt idx="2">
                  <c:v>301.8</c:v>
                </c:pt>
                <c:pt idx="3">
                  <c:v>206.9</c:v>
                </c:pt>
                <c:pt idx="4">
                  <c:v>95.7</c:v>
                </c:pt>
                <c:pt idx="5">
                  <c:v>67</c:v>
                </c:pt>
                <c:pt idx="6">
                  <c:v>48.6</c:v>
                </c:pt>
                <c:pt idx="7">
                  <c:v>54.4</c:v>
                </c:pt>
                <c:pt idx="8">
                  <c:v>129.4</c:v>
                </c:pt>
                <c:pt idx="9">
                  <c:v>271.8</c:v>
                </c:pt>
                <c:pt idx="10">
                  <c:v>257.39999999999998</c:v>
                </c:pt>
                <c:pt idx="11">
                  <c:v>236.3</c:v>
                </c:pt>
              </c:numCache>
            </c:numRef>
          </c:val>
          <c:smooth val="0"/>
          <c:extLst/>
        </c:ser>
        <c:ser>
          <c:idx val="1"/>
          <c:order val="3"/>
          <c:tx>
            <c:strRef>
              <c:f>'Rainfall Graphs'!$E$2</c:f>
              <c:strCache>
                <c:ptCount val="1"/>
                <c:pt idx="0">
                  <c:v>Lower Threshold Forecast (mm)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'Rainfall Graphs'!$A$3:$A$14</c:f>
              <c:numCache>
                <c:formatCode>mmm\-yy</c:formatCode>
                <c:ptCount val="12"/>
                <c:pt idx="0">
                  <c:v>42979</c:v>
                </c:pt>
                <c:pt idx="1">
                  <c:v>43009</c:v>
                </c:pt>
                <c:pt idx="2">
                  <c:v>43040</c:v>
                </c:pt>
                <c:pt idx="3">
                  <c:v>43070</c:v>
                </c:pt>
                <c:pt idx="4">
                  <c:v>43101</c:v>
                </c:pt>
                <c:pt idx="5">
                  <c:v>43132</c:v>
                </c:pt>
                <c:pt idx="6">
                  <c:v>43160</c:v>
                </c:pt>
                <c:pt idx="7">
                  <c:v>43191</c:v>
                </c:pt>
                <c:pt idx="8">
                  <c:v>43221</c:v>
                </c:pt>
                <c:pt idx="9">
                  <c:v>43252</c:v>
                </c:pt>
                <c:pt idx="10">
                  <c:v>43282</c:v>
                </c:pt>
                <c:pt idx="11">
                  <c:v>43313</c:v>
                </c:pt>
              </c:numCache>
            </c:numRef>
          </c:cat>
          <c:val>
            <c:numRef>
              <c:f>'Rainfall Graphs'!$E$3:$E$14</c:f>
              <c:numCache>
                <c:formatCode>0.0</c:formatCode>
                <c:ptCount val="12"/>
                <c:pt idx="0">
                  <c:v>48.7</c:v>
                </c:pt>
                <c:pt idx="1">
                  <c:v>128</c:v>
                </c:pt>
                <c:pt idx="2">
                  <c:v>203</c:v>
                </c:pt>
                <c:pt idx="3">
                  <c:v>179</c:v>
                </c:pt>
                <c:pt idx="4">
                  <c:v>77.099999999999994</c:v>
                </c:pt>
                <c:pt idx="5">
                  <c:v>45</c:v>
                </c:pt>
                <c:pt idx="6">
                  <c:v>19</c:v>
                </c:pt>
                <c:pt idx="7">
                  <c:v>22</c:v>
                </c:pt>
                <c:pt idx="8">
                  <c:v>14</c:v>
                </c:pt>
                <c:pt idx="9">
                  <c:v>153</c:v>
                </c:pt>
                <c:pt idx="10">
                  <c:v>182</c:v>
                </c:pt>
                <c:pt idx="11">
                  <c:v>167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515944"/>
        <c:axId val="342516336"/>
      </c:lineChart>
      <c:catAx>
        <c:axId val="342515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16336"/>
        <c:crosses val="autoZero"/>
        <c:auto val="1"/>
        <c:lblAlgn val="ctr"/>
        <c:lblOffset val="100"/>
        <c:noMultiLvlLbl val="0"/>
      </c:catAx>
      <c:valAx>
        <c:axId val="34251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1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7981498306301453E-2"/>
          <c:y val="0.8951649673598493"/>
          <c:w val="0.91170082105121475"/>
          <c:h val="8.61384514435695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en-US" sz="1600" u="sng">
                <a:latin typeface="Arial" panose="020B0604020202020204" pitchFamily="34" charset="0"/>
                <a:cs typeface="Arial" panose="020B0604020202020204" pitchFamily="34" charset="0"/>
              </a:rPr>
              <a:t>Caroni</a:t>
            </a:r>
            <a:r>
              <a:rPr lang="en-US" sz="1600" u="sng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600" u="sng">
                <a:latin typeface="Arial" panose="020B0604020202020204" pitchFamily="34" charset="0"/>
                <a:cs typeface="Arial" panose="020B0604020202020204" pitchFamily="34" charset="0"/>
              </a:rPr>
              <a:t>Reservoir Lake Level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9298903364718"/>
          <c:y val="0.22679344956220271"/>
          <c:w val="0.77751549285505983"/>
          <c:h val="0.70261605267379879"/>
        </c:manualLayout>
      </c:layout>
      <c:lineChart>
        <c:grouping val="standard"/>
        <c:varyColors val="0"/>
        <c:ser>
          <c:idx val="3"/>
          <c:order val="0"/>
          <c:tx>
            <c:strRef>
              <c:f>'Caroni '!$E$18</c:f>
              <c:strCache>
                <c:ptCount val="1"/>
                <c:pt idx="0">
                  <c:v>B.D.O. (ft)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'Caroni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'Caroni '!$E$19:$E$30</c:f>
              <c:numCache>
                <c:formatCode>0.0</c:formatCode>
                <c:ptCount val="12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'Caroni '!$F$18</c:f>
              <c:strCache>
                <c:ptCount val="1"/>
                <c:pt idx="0">
                  <c:v>T.W.L. (ft)</c:v>
                </c:pt>
              </c:strCache>
            </c:strRef>
          </c:tx>
          <c:spPr>
            <a:ln w="38100">
              <a:prstDash val="solid"/>
              <a:bevel/>
            </a:ln>
          </c:spPr>
          <c:marker>
            <c:symbol val="none"/>
          </c:marker>
          <c:cat>
            <c:strRef>
              <c:f>'Caroni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'Caroni '!$F$19:$F$30</c:f>
              <c:numCache>
                <c:formatCode>0.0</c:formatCode>
                <c:ptCount val="12"/>
                <c:pt idx="0">
                  <c:v>119</c:v>
                </c:pt>
                <c:pt idx="1">
                  <c:v>119</c:v>
                </c:pt>
                <c:pt idx="2">
                  <c:v>119</c:v>
                </c:pt>
                <c:pt idx="3">
                  <c:v>119</c:v>
                </c:pt>
                <c:pt idx="4">
                  <c:v>119</c:v>
                </c:pt>
                <c:pt idx="5">
                  <c:v>119</c:v>
                </c:pt>
                <c:pt idx="6">
                  <c:v>119</c:v>
                </c:pt>
                <c:pt idx="7">
                  <c:v>119</c:v>
                </c:pt>
                <c:pt idx="8">
                  <c:v>119</c:v>
                </c:pt>
                <c:pt idx="9">
                  <c:v>119</c:v>
                </c:pt>
                <c:pt idx="10">
                  <c:v>119</c:v>
                </c:pt>
                <c:pt idx="11">
                  <c:v>119</c:v>
                </c:pt>
              </c:numCache>
            </c:numRef>
          </c:val>
          <c:smooth val="1"/>
        </c:ser>
        <c:ser>
          <c:idx val="5"/>
          <c:order val="2"/>
          <c:tx>
            <c:strRef>
              <c:f>'Caroni '!$G$18</c:f>
              <c:strCache>
                <c:ptCount val="1"/>
                <c:pt idx="0">
                  <c:v>Average (ft)</c:v>
                </c:pt>
              </c:strCache>
            </c:strRef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'Caroni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'Caroni '!$G$19:$G$30</c:f>
              <c:numCache>
                <c:formatCode>0.0</c:formatCode>
                <c:ptCount val="12"/>
                <c:pt idx="0">
                  <c:v>117.32</c:v>
                </c:pt>
                <c:pt idx="1">
                  <c:v>116.13</c:v>
                </c:pt>
                <c:pt idx="2">
                  <c:v>113.12035714285712</c:v>
                </c:pt>
                <c:pt idx="3">
                  <c:v>109.27</c:v>
                </c:pt>
                <c:pt idx="4">
                  <c:v>105.89</c:v>
                </c:pt>
                <c:pt idx="5">
                  <c:v>106.22517241379308</c:v>
                </c:pt>
                <c:pt idx="6">
                  <c:v>108.93206896551725</c:v>
                </c:pt>
                <c:pt idx="7">
                  <c:v>111.14</c:v>
                </c:pt>
                <c:pt idx="8">
                  <c:v>112.42</c:v>
                </c:pt>
                <c:pt idx="9">
                  <c:v>114.27</c:v>
                </c:pt>
                <c:pt idx="10">
                  <c:v>116.38285714285701</c:v>
                </c:pt>
                <c:pt idx="11">
                  <c:v>117.62142857142901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'Caroni '!$B$18</c:f>
              <c:strCache>
                <c:ptCount val="1"/>
                <c:pt idx="0">
                  <c:v>2001</c:v>
                </c:pt>
              </c:strCache>
            </c:strRef>
          </c:tx>
          <c:spPr>
            <a:ln w="31750"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val>
            <c:numRef>
              <c:f>'Caroni '!$B$19:$B$30</c:f>
              <c:numCache>
                <c:formatCode>0.0</c:formatCode>
                <c:ptCount val="12"/>
                <c:pt idx="0">
                  <c:v>116.75</c:v>
                </c:pt>
                <c:pt idx="1">
                  <c:v>113</c:v>
                </c:pt>
                <c:pt idx="2">
                  <c:v>107.85</c:v>
                </c:pt>
                <c:pt idx="3">
                  <c:v>100.7</c:v>
                </c:pt>
                <c:pt idx="4">
                  <c:v>93</c:v>
                </c:pt>
                <c:pt idx="5">
                  <c:v>91.9</c:v>
                </c:pt>
                <c:pt idx="6">
                  <c:v>95</c:v>
                </c:pt>
                <c:pt idx="7">
                  <c:v>98.5</c:v>
                </c:pt>
                <c:pt idx="8">
                  <c:v>101.71</c:v>
                </c:pt>
                <c:pt idx="9">
                  <c:v>102.75</c:v>
                </c:pt>
                <c:pt idx="10">
                  <c:v>103.5</c:v>
                </c:pt>
                <c:pt idx="11">
                  <c:v>111.4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'Caroni '!$D$18</c:f>
              <c:strCache>
                <c:ptCount val="1"/>
                <c:pt idx="0">
                  <c:v>2015</c:v>
                </c:pt>
              </c:strCache>
            </c:strRef>
          </c:tx>
          <c:spPr>
            <a:ln w="31750">
              <a:solidFill>
                <a:srgbClr val="00B0F0"/>
              </a:solidFill>
              <a:prstDash val="solid"/>
              <a:tailEnd type="none"/>
            </a:ln>
          </c:spPr>
          <c:marker>
            <c:symbol val="none"/>
          </c:marker>
          <c:val>
            <c:numRef>
              <c:f>'Caroni '!$D$19:$D$30</c:f>
              <c:numCache>
                <c:formatCode>0.0</c:formatCode>
                <c:ptCount val="12"/>
                <c:pt idx="0">
                  <c:v>119</c:v>
                </c:pt>
                <c:pt idx="1">
                  <c:v>118.2</c:v>
                </c:pt>
                <c:pt idx="2">
                  <c:v>115.34</c:v>
                </c:pt>
                <c:pt idx="3">
                  <c:v>111</c:v>
                </c:pt>
                <c:pt idx="4">
                  <c:v>105.1</c:v>
                </c:pt>
                <c:pt idx="5">
                  <c:v>101.5</c:v>
                </c:pt>
                <c:pt idx="6">
                  <c:v>104.2</c:v>
                </c:pt>
                <c:pt idx="7">
                  <c:v>104.25</c:v>
                </c:pt>
                <c:pt idx="8">
                  <c:v>103.4</c:v>
                </c:pt>
                <c:pt idx="9">
                  <c:v>104.9</c:v>
                </c:pt>
                <c:pt idx="10">
                  <c:v>109.8</c:v>
                </c:pt>
                <c:pt idx="11">
                  <c:v>113.2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'Caroni '!$C$18</c:f>
              <c:strCache>
                <c:ptCount val="1"/>
                <c:pt idx="0">
                  <c:v>2017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'Caroni '!$C$19:$C$30</c:f>
              <c:numCache>
                <c:formatCode>0.0</c:formatCode>
                <c:ptCount val="12"/>
                <c:pt idx="0">
                  <c:v>118.5</c:v>
                </c:pt>
                <c:pt idx="1">
                  <c:v>116.85</c:v>
                </c:pt>
                <c:pt idx="2">
                  <c:v>115.2</c:v>
                </c:pt>
                <c:pt idx="3">
                  <c:v>111.5</c:v>
                </c:pt>
                <c:pt idx="4">
                  <c:v>107.55</c:v>
                </c:pt>
                <c:pt idx="5">
                  <c:v>111.2</c:v>
                </c:pt>
                <c:pt idx="6">
                  <c:v>114.05</c:v>
                </c:pt>
                <c:pt idx="7">
                  <c:v>116.25</c:v>
                </c:pt>
                <c:pt idx="8">
                  <c:v>119.05</c:v>
                </c:pt>
                <c:pt idx="9">
                  <c:v>119.4</c:v>
                </c:pt>
                <c:pt idx="10">
                  <c:v>119.15</c:v>
                </c:pt>
                <c:pt idx="11">
                  <c:v>119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'Caroni '!$I$18</c:f>
              <c:strCache>
                <c:ptCount val="1"/>
                <c:pt idx="0">
                  <c:v>Actual 2018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'Caroni '!$I$19:$I$30</c:f>
              <c:numCache>
                <c:formatCode>0.0</c:formatCode>
                <c:ptCount val="12"/>
                <c:pt idx="0">
                  <c:v>119</c:v>
                </c:pt>
                <c:pt idx="1">
                  <c:v>118.9</c:v>
                </c:pt>
              </c:numCache>
            </c:numRef>
          </c:val>
          <c:smooth val="0"/>
        </c:ser>
        <c:ser>
          <c:idx val="6"/>
          <c:order val="7"/>
          <c:tx>
            <c:strRef>
              <c:f>'Caroni '!$H$18</c:f>
              <c:strCache>
                <c:ptCount val="1"/>
                <c:pt idx="0">
                  <c:v>Projected 2018</c:v>
                </c:pt>
              </c:strCache>
            </c:strRef>
          </c:tx>
          <c:spPr>
            <a:ln w="31750">
              <a:solidFill>
                <a:srgbClr val="FF0000"/>
              </a:solidFill>
              <a:prstDash val="sysDash"/>
              <a:tailEnd type="triangle" w="lg" len="sm"/>
            </a:ln>
          </c:spPr>
          <c:marker>
            <c:symbol val="none"/>
          </c:marker>
          <c:val>
            <c:numRef>
              <c:f>'Caroni '!$H$19:$H$30</c:f>
              <c:numCache>
                <c:formatCode>0.0</c:formatCode>
                <c:ptCount val="12"/>
                <c:pt idx="1">
                  <c:v>118.9</c:v>
                </c:pt>
                <c:pt idx="2">
                  <c:v>115.35906619052828</c:v>
                </c:pt>
                <c:pt idx="3">
                  <c:v>111.88649711625891</c:v>
                </c:pt>
                <c:pt idx="4">
                  <c:v>107.92022016166645</c:v>
                </c:pt>
                <c:pt idx="5">
                  <c:v>110.58595450143341</c:v>
                </c:pt>
                <c:pt idx="6">
                  <c:v>112.67909414334115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646544"/>
        <c:axId val="342646936"/>
      </c:lineChart>
      <c:catAx>
        <c:axId val="34264654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42646936"/>
        <c:crosses val="autoZero"/>
        <c:auto val="1"/>
        <c:lblAlgn val="ctr"/>
        <c:lblOffset val="100"/>
        <c:noMultiLvlLbl val="0"/>
      </c:catAx>
      <c:valAx>
        <c:axId val="342646936"/>
        <c:scaling>
          <c:orientation val="minMax"/>
          <c:min val="7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800">
                    <a:latin typeface="Arial" panose="020B0604020202020204" pitchFamily="34" charset="0"/>
                    <a:cs typeface="Arial" panose="020B0604020202020204" pitchFamily="34" charset="0"/>
                  </a:rPr>
                  <a:t>WATER LEVEL (FT)</a:t>
                </a:r>
              </a:p>
            </c:rich>
          </c:tx>
          <c:layout>
            <c:manualLayout>
              <c:xMode val="edge"/>
              <c:yMode val="edge"/>
              <c:x val="2.2022655227469136E-2"/>
              <c:y val="0.3944943576688635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34264654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6.2934027777777776E-2"/>
          <c:y val="0.10076652350274398"/>
          <c:w val="0.88032589676290451"/>
          <c:h val="9.8489541668821526E-2"/>
        </c:manualLayout>
      </c:layout>
      <c:overlay val="0"/>
      <c:spPr>
        <a:ln>
          <a:solidFill>
            <a:srgbClr val="000000"/>
          </a:solidFill>
        </a:ln>
      </c:spPr>
      <c:txPr>
        <a:bodyPr/>
        <a:lstStyle/>
        <a:p>
          <a:pPr>
            <a:defRPr sz="8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4803149606299213" l="0.70866141732283472" r="0.70866141732283472" t="0.74803149606299213" header="0.31496062992125984" footer="0.31496062992125984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u="sng"/>
            </a:pPr>
            <a:r>
              <a:rPr lang="en-US" sz="1600" u="sng"/>
              <a:t>Navet Reservoir Lake Level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12735908011499"/>
          <c:y val="0.23016694875757351"/>
          <c:w val="0.77642514100631033"/>
          <c:h val="0.7001042878462852"/>
        </c:manualLayout>
      </c:layout>
      <c:lineChart>
        <c:grouping val="standard"/>
        <c:varyColors val="0"/>
        <c:ser>
          <c:idx val="3"/>
          <c:order val="0"/>
          <c:tx>
            <c:strRef>
              <c:f>'Navet '!$E$18</c:f>
              <c:strCache>
                <c:ptCount val="1"/>
                <c:pt idx="0">
                  <c:v>B.D.O. (ft)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'Navet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'Navet '!$E$19:$E$30</c:f>
              <c:numCache>
                <c:formatCode>0.0</c:formatCode>
                <c:ptCount val="12"/>
                <c:pt idx="0">
                  <c:v>268</c:v>
                </c:pt>
                <c:pt idx="1">
                  <c:v>268</c:v>
                </c:pt>
                <c:pt idx="2">
                  <c:v>268</c:v>
                </c:pt>
                <c:pt idx="3">
                  <c:v>268</c:v>
                </c:pt>
                <c:pt idx="4">
                  <c:v>268</c:v>
                </c:pt>
                <c:pt idx="5">
                  <c:v>268</c:v>
                </c:pt>
                <c:pt idx="6">
                  <c:v>268</c:v>
                </c:pt>
                <c:pt idx="7">
                  <c:v>268</c:v>
                </c:pt>
                <c:pt idx="8">
                  <c:v>268</c:v>
                </c:pt>
                <c:pt idx="9">
                  <c:v>268</c:v>
                </c:pt>
                <c:pt idx="10">
                  <c:v>268</c:v>
                </c:pt>
                <c:pt idx="11">
                  <c:v>268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'Navet '!$F$18</c:f>
              <c:strCache>
                <c:ptCount val="1"/>
                <c:pt idx="0">
                  <c:v>T.W.L. (ft)</c:v>
                </c:pt>
              </c:strCache>
            </c:strRef>
          </c:tx>
          <c:spPr>
            <a:ln w="38100">
              <a:prstDash val="solid"/>
              <a:bevel/>
            </a:ln>
          </c:spPr>
          <c:marker>
            <c:symbol val="none"/>
          </c:marker>
          <c:cat>
            <c:strRef>
              <c:f>'Navet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'Navet '!$F$19:$F$30</c:f>
              <c:numCache>
                <c:formatCode>0.0</c:formatCode>
                <c:ptCount val="12"/>
                <c:pt idx="0">
                  <c:v>312</c:v>
                </c:pt>
                <c:pt idx="1">
                  <c:v>312</c:v>
                </c:pt>
                <c:pt idx="2">
                  <c:v>312</c:v>
                </c:pt>
                <c:pt idx="3">
                  <c:v>312</c:v>
                </c:pt>
                <c:pt idx="4">
                  <c:v>312</c:v>
                </c:pt>
                <c:pt idx="5">
                  <c:v>312</c:v>
                </c:pt>
                <c:pt idx="6">
                  <c:v>312</c:v>
                </c:pt>
                <c:pt idx="7">
                  <c:v>312</c:v>
                </c:pt>
                <c:pt idx="8">
                  <c:v>312</c:v>
                </c:pt>
                <c:pt idx="9">
                  <c:v>312</c:v>
                </c:pt>
                <c:pt idx="10">
                  <c:v>312</c:v>
                </c:pt>
                <c:pt idx="11">
                  <c:v>312</c:v>
                </c:pt>
              </c:numCache>
            </c:numRef>
          </c:val>
          <c:smooth val="1"/>
        </c:ser>
        <c:ser>
          <c:idx val="0"/>
          <c:order val="2"/>
          <c:tx>
            <c:strRef>
              <c:f>'Navet '!$G$18</c:f>
              <c:strCache>
                <c:ptCount val="1"/>
                <c:pt idx="0">
                  <c:v>Average (ft)</c:v>
                </c:pt>
              </c:strCache>
            </c:strRef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val>
            <c:numRef>
              <c:f>'Navet '!$G$19:$G$30</c:f>
              <c:numCache>
                <c:formatCode>0.0</c:formatCode>
                <c:ptCount val="12"/>
                <c:pt idx="0">
                  <c:v>310.14999999999998</c:v>
                </c:pt>
                <c:pt idx="1">
                  <c:v>309.57</c:v>
                </c:pt>
                <c:pt idx="2">
                  <c:v>304.64999999999998</c:v>
                </c:pt>
                <c:pt idx="3">
                  <c:v>300.70517241379315</c:v>
                </c:pt>
                <c:pt idx="4">
                  <c:v>297.19</c:v>
                </c:pt>
                <c:pt idx="5">
                  <c:v>297.85000000000002</c:v>
                </c:pt>
                <c:pt idx="6">
                  <c:v>301.21758620689656</c:v>
                </c:pt>
                <c:pt idx="7">
                  <c:v>304.16000000000003</c:v>
                </c:pt>
                <c:pt idx="8">
                  <c:v>305.5</c:v>
                </c:pt>
                <c:pt idx="9">
                  <c:v>307.11103448275867</c:v>
                </c:pt>
                <c:pt idx="10">
                  <c:v>307.27</c:v>
                </c:pt>
                <c:pt idx="11">
                  <c:v>310.66000000000003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'Navet '!$B$18</c:f>
              <c:strCache>
                <c:ptCount val="1"/>
                <c:pt idx="0">
                  <c:v>2001</c:v>
                </c:pt>
              </c:strCache>
            </c:strRef>
          </c:tx>
          <c:spPr>
            <a:ln w="31750"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val>
            <c:numRef>
              <c:f>'Navet '!$B$19:$B$30</c:f>
              <c:numCache>
                <c:formatCode>0.0</c:formatCode>
                <c:ptCount val="12"/>
                <c:pt idx="0">
                  <c:v>309.45999999999998</c:v>
                </c:pt>
                <c:pt idx="1">
                  <c:v>306.33</c:v>
                </c:pt>
                <c:pt idx="2">
                  <c:v>301.33999999999997</c:v>
                </c:pt>
                <c:pt idx="3">
                  <c:v>295.92</c:v>
                </c:pt>
                <c:pt idx="4">
                  <c:v>289</c:v>
                </c:pt>
                <c:pt idx="5">
                  <c:v>285.75</c:v>
                </c:pt>
                <c:pt idx="6">
                  <c:v>287.75</c:v>
                </c:pt>
                <c:pt idx="7">
                  <c:v>290.17</c:v>
                </c:pt>
                <c:pt idx="8">
                  <c:v>294</c:v>
                </c:pt>
                <c:pt idx="9">
                  <c:v>292.92</c:v>
                </c:pt>
                <c:pt idx="10">
                  <c:v>288.33</c:v>
                </c:pt>
                <c:pt idx="11">
                  <c:v>301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'Navet '!$D$18</c:f>
              <c:strCache>
                <c:ptCount val="1"/>
                <c:pt idx="0">
                  <c:v>2015</c:v>
                </c:pt>
              </c:strCache>
            </c:strRef>
          </c:tx>
          <c:spPr>
            <a:ln w="31750">
              <a:solidFill>
                <a:srgbClr val="00B0F0"/>
              </a:solidFill>
              <a:prstDash val="solid"/>
              <a:tailEnd type="none"/>
            </a:ln>
          </c:spPr>
          <c:marker>
            <c:symbol val="none"/>
          </c:marker>
          <c:val>
            <c:numRef>
              <c:f>'Navet '!$D$19:$D$30</c:f>
              <c:numCache>
                <c:formatCode>0.0</c:formatCode>
                <c:ptCount val="12"/>
                <c:pt idx="0">
                  <c:v>312</c:v>
                </c:pt>
                <c:pt idx="1">
                  <c:v>309.39999999999998</c:v>
                </c:pt>
                <c:pt idx="2">
                  <c:v>306.39999999999998</c:v>
                </c:pt>
                <c:pt idx="3">
                  <c:v>301.89999999999998</c:v>
                </c:pt>
                <c:pt idx="4">
                  <c:v>296.39999999999998</c:v>
                </c:pt>
                <c:pt idx="5">
                  <c:v>295.89999999999998</c:v>
                </c:pt>
                <c:pt idx="6">
                  <c:v>300.89999999999998</c:v>
                </c:pt>
                <c:pt idx="7">
                  <c:v>300.3</c:v>
                </c:pt>
                <c:pt idx="8">
                  <c:v>299.39999999999998</c:v>
                </c:pt>
                <c:pt idx="9">
                  <c:v>296.89999999999998</c:v>
                </c:pt>
                <c:pt idx="10">
                  <c:v>306</c:v>
                </c:pt>
                <c:pt idx="11">
                  <c:v>312.39999999999998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'Navet '!$C$18</c:f>
              <c:strCache>
                <c:ptCount val="1"/>
                <c:pt idx="0">
                  <c:v>2017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'Navet '!$C$19:$C$30</c:f>
              <c:numCache>
                <c:formatCode>0.0</c:formatCode>
                <c:ptCount val="12"/>
                <c:pt idx="0">
                  <c:v>311.8</c:v>
                </c:pt>
                <c:pt idx="1">
                  <c:v>311.10000000000002</c:v>
                </c:pt>
                <c:pt idx="2">
                  <c:v>307.5</c:v>
                </c:pt>
                <c:pt idx="3">
                  <c:v>302.89999999999998</c:v>
                </c:pt>
                <c:pt idx="4">
                  <c:v>298.10000000000002</c:v>
                </c:pt>
                <c:pt idx="5">
                  <c:v>303.39999999999998</c:v>
                </c:pt>
                <c:pt idx="6">
                  <c:v>302.7</c:v>
                </c:pt>
                <c:pt idx="7">
                  <c:v>307.60000000000002</c:v>
                </c:pt>
                <c:pt idx="8">
                  <c:v>310.2</c:v>
                </c:pt>
                <c:pt idx="9">
                  <c:v>311.8</c:v>
                </c:pt>
                <c:pt idx="10">
                  <c:v>311.7</c:v>
                </c:pt>
                <c:pt idx="11">
                  <c:v>312</c:v>
                </c:pt>
              </c:numCache>
            </c:numRef>
          </c:val>
          <c:smooth val="0"/>
        </c:ser>
        <c:ser>
          <c:idx val="5"/>
          <c:order val="6"/>
          <c:tx>
            <c:strRef>
              <c:f>'Navet '!$I$18</c:f>
              <c:strCache>
                <c:ptCount val="1"/>
                <c:pt idx="0">
                  <c:v>Actual 2018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'Navet '!$I$19:$I$30</c:f>
              <c:numCache>
                <c:formatCode>General</c:formatCode>
                <c:ptCount val="12"/>
                <c:pt idx="0">
                  <c:v>311.8</c:v>
                </c:pt>
                <c:pt idx="1">
                  <c:v>311.39999999999998</c:v>
                </c:pt>
              </c:numCache>
            </c:numRef>
          </c:val>
          <c:smooth val="0"/>
        </c:ser>
        <c:ser>
          <c:idx val="2"/>
          <c:order val="7"/>
          <c:tx>
            <c:strRef>
              <c:f>'Navet '!$H$18</c:f>
              <c:strCache>
                <c:ptCount val="1"/>
                <c:pt idx="0">
                  <c:v>Projected 2018</c:v>
                </c:pt>
              </c:strCache>
            </c:strRef>
          </c:tx>
          <c:spPr>
            <a:ln w="31750">
              <a:solidFill>
                <a:srgbClr val="FF0000"/>
              </a:solidFill>
              <a:prstDash val="sysDash"/>
              <a:tailEnd type="triangle" w="lg" len="sm"/>
            </a:ln>
          </c:spPr>
          <c:marker>
            <c:symbol val="none"/>
          </c:marker>
          <c:val>
            <c:numRef>
              <c:f>'Navet '!$H$19:$H$30</c:f>
              <c:numCache>
                <c:formatCode>0.0</c:formatCode>
                <c:ptCount val="12"/>
                <c:pt idx="1">
                  <c:v>311.39999999999998</c:v>
                </c:pt>
                <c:pt idx="2">
                  <c:v>307.9822938305295</c:v>
                </c:pt>
                <c:pt idx="3">
                  <c:v>304.49747333940672</c:v>
                </c:pt>
                <c:pt idx="4">
                  <c:v>300.91772226058657</c:v>
                </c:pt>
                <c:pt idx="5">
                  <c:v>303.09928482156863</c:v>
                </c:pt>
                <c:pt idx="6">
                  <c:v>303.42227301920565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648112"/>
        <c:axId val="342648504"/>
      </c:lineChart>
      <c:catAx>
        <c:axId val="34264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2648504"/>
        <c:crosses val="autoZero"/>
        <c:auto val="1"/>
        <c:lblAlgn val="ctr"/>
        <c:lblOffset val="100"/>
        <c:noMultiLvlLbl val="0"/>
      </c:catAx>
      <c:valAx>
        <c:axId val="342648504"/>
        <c:scaling>
          <c:orientation val="minMax"/>
          <c:max val="320"/>
          <c:min val="26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/>
                </a:pPr>
                <a:r>
                  <a:rPr lang="en-US" sz="800"/>
                  <a:t>WATER LEVEL (FT)</a:t>
                </a:r>
              </a:p>
            </c:rich>
          </c:tx>
          <c:layout>
            <c:manualLayout>
              <c:xMode val="edge"/>
              <c:yMode val="edge"/>
              <c:x val="1.5051958000859631E-2"/>
              <c:y val="0.3944943867651490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264811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5.6871642978067703E-2"/>
          <c:y val="9.875811797563766E-2"/>
          <c:w val="0.89421478565179358"/>
          <c:h val="9.8557050434690693E-2"/>
        </c:manualLayout>
      </c:layout>
      <c:overlay val="0"/>
      <c:spPr>
        <a:ln>
          <a:solidFill>
            <a:srgbClr val="000000"/>
          </a:solidFill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en-US" sz="1600" u="sng">
                <a:latin typeface="Arial" panose="020B0604020202020204" pitchFamily="34" charset="0"/>
                <a:cs typeface="Arial" panose="020B0604020202020204" pitchFamily="34" charset="0"/>
              </a:rPr>
              <a:t>Hollis Reservoir Lake Level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812735908011499"/>
          <c:y val="0.23016694875757351"/>
          <c:w val="0.77642514100631033"/>
          <c:h val="0.70005854547672364"/>
        </c:manualLayout>
      </c:layout>
      <c:lineChart>
        <c:grouping val="standard"/>
        <c:varyColors val="0"/>
        <c:ser>
          <c:idx val="3"/>
          <c:order val="0"/>
          <c:tx>
            <c:strRef>
              <c:f>'Hollis '!$E$18</c:f>
              <c:strCache>
                <c:ptCount val="1"/>
                <c:pt idx="0">
                  <c:v>B.D.O. (ft)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'Hollis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'Hollis '!$E$19:$E$30</c:f>
              <c:numCache>
                <c:formatCode>0.0</c:formatCode>
                <c:ptCount val="12"/>
                <c:pt idx="0">
                  <c:v>576.70000000000005</c:v>
                </c:pt>
                <c:pt idx="1">
                  <c:v>576.70000000000005</c:v>
                </c:pt>
                <c:pt idx="2">
                  <c:v>576.70000000000005</c:v>
                </c:pt>
                <c:pt idx="3">
                  <c:v>576.70000000000005</c:v>
                </c:pt>
                <c:pt idx="4">
                  <c:v>576.70000000000005</c:v>
                </c:pt>
                <c:pt idx="5">
                  <c:v>576.70000000000005</c:v>
                </c:pt>
                <c:pt idx="6">
                  <c:v>576.70000000000005</c:v>
                </c:pt>
                <c:pt idx="7">
                  <c:v>576.70000000000005</c:v>
                </c:pt>
                <c:pt idx="8">
                  <c:v>576.70000000000005</c:v>
                </c:pt>
                <c:pt idx="9">
                  <c:v>576.70000000000005</c:v>
                </c:pt>
                <c:pt idx="10">
                  <c:v>576.70000000000005</c:v>
                </c:pt>
                <c:pt idx="11">
                  <c:v>576.70000000000005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'Hollis '!$F$18</c:f>
              <c:strCache>
                <c:ptCount val="1"/>
                <c:pt idx="0">
                  <c:v>T.W.L. (ft)</c:v>
                </c:pt>
              </c:strCache>
            </c:strRef>
          </c:tx>
          <c:spPr>
            <a:ln w="38100">
              <a:prstDash val="solid"/>
              <a:bevel/>
            </a:ln>
          </c:spPr>
          <c:marker>
            <c:symbol val="none"/>
          </c:marker>
          <c:cat>
            <c:strRef>
              <c:f>'Hollis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'Hollis '!$F$19:$F$30</c:f>
              <c:numCache>
                <c:formatCode>0.0</c:formatCode>
                <c:ptCount val="12"/>
                <c:pt idx="0">
                  <c:v>619</c:v>
                </c:pt>
                <c:pt idx="1">
                  <c:v>619</c:v>
                </c:pt>
                <c:pt idx="2">
                  <c:v>619</c:v>
                </c:pt>
                <c:pt idx="3">
                  <c:v>619</c:v>
                </c:pt>
                <c:pt idx="4">
                  <c:v>619</c:v>
                </c:pt>
                <c:pt idx="5">
                  <c:v>619</c:v>
                </c:pt>
                <c:pt idx="6">
                  <c:v>619</c:v>
                </c:pt>
                <c:pt idx="7">
                  <c:v>619</c:v>
                </c:pt>
                <c:pt idx="8">
                  <c:v>619</c:v>
                </c:pt>
                <c:pt idx="9">
                  <c:v>619</c:v>
                </c:pt>
                <c:pt idx="10">
                  <c:v>619</c:v>
                </c:pt>
                <c:pt idx="11">
                  <c:v>619</c:v>
                </c:pt>
              </c:numCache>
            </c:numRef>
          </c:val>
          <c:smooth val="1"/>
        </c:ser>
        <c:ser>
          <c:idx val="5"/>
          <c:order val="2"/>
          <c:tx>
            <c:strRef>
              <c:f>'Hollis '!$G$18</c:f>
              <c:strCache>
                <c:ptCount val="1"/>
                <c:pt idx="0">
                  <c:v>Average (ft)</c:v>
                </c:pt>
              </c:strCache>
            </c:strRef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'Hollis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'Hollis '!$G$19:$G$30</c:f>
              <c:numCache>
                <c:formatCode>0.0</c:formatCode>
                <c:ptCount val="12"/>
                <c:pt idx="0">
                  <c:v>616.9</c:v>
                </c:pt>
                <c:pt idx="1">
                  <c:v>615.23</c:v>
                </c:pt>
                <c:pt idx="2">
                  <c:v>611.04</c:v>
                </c:pt>
                <c:pt idx="3">
                  <c:v>606.98</c:v>
                </c:pt>
                <c:pt idx="4">
                  <c:v>604.08000000000004</c:v>
                </c:pt>
                <c:pt idx="5">
                  <c:v>605.92999999999995</c:v>
                </c:pt>
                <c:pt idx="6">
                  <c:v>609.27896551724143</c:v>
                </c:pt>
                <c:pt idx="7">
                  <c:v>611.46</c:v>
                </c:pt>
                <c:pt idx="8">
                  <c:v>612.55999999999995</c:v>
                </c:pt>
                <c:pt idx="9">
                  <c:v>614.26965517241376</c:v>
                </c:pt>
                <c:pt idx="10">
                  <c:v>617.05999999999995</c:v>
                </c:pt>
                <c:pt idx="11">
                  <c:v>618.25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'Hollis '!$B$18</c:f>
              <c:strCache>
                <c:ptCount val="1"/>
                <c:pt idx="0">
                  <c:v>2001</c:v>
                </c:pt>
              </c:strCache>
            </c:strRef>
          </c:tx>
          <c:spPr>
            <a:ln w="31750"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val>
            <c:numRef>
              <c:f>'Hollis '!$B$19:$B$30</c:f>
              <c:numCache>
                <c:formatCode>0.0</c:formatCode>
                <c:ptCount val="12"/>
                <c:pt idx="0">
                  <c:v>616.41999999999996</c:v>
                </c:pt>
                <c:pt idx="1">
                  <c:v>612.55999999999995</c:v>
                </c:pt>
                <c:pt idx="2">
                  <c:v>606.1</c:v>
                </c:pt>
                <c:pt idx="3">
                  <c:v>599.41999999999996</c:v>
                </c:pt>
                <c:pt idx="4">
                  <c:v>593.52</c:v>
                </c:pt>
                <c:pt idx="5">
                  <c:v>592.35</c:v>
                </c:pt>
                <c:pt idx="6">
                  <c:v>590.25</c:v>
                </c:pt>
                <c:pt idx="7">
                  <c:v>593.25</c:v>
                </c:pt>
                <c:pt idx="8">
                  <c:v>594.77</c:v>
                </c:pt>
                <c:pt idx="9">
                  <c:v>596.41999999999996</c:v>
                </c:pt>
                <c:pt idx="10">
                  <c:v>601.72</c:v>
                </c:pt>
                <c:pt idx="11">
                  <c:v>619.52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'Hollis '!$D$18</c:f>
              <c:strCache>
                <c:ptCount val="1"/>
                <c:pt idx="0">
                  <c:v>2015</c:v>
                </c:pt>
              </c:strCache>
            </c:strRef>
          </c:tx>
          <c:spPr>
            <a:ln w="31750">
              <a:solidFill>
                <a:srgbClr val="00B0F0"/>
              </a:solidFill>
              <a:prstDash val="solid"/>
              <a:tailEnd type="none"/>
            </a:ln>
          </c:spPr>
          <c:marker>
            <c:symbol val="none"/>
          </c:marker>
          <c:val>
            <c:numRef>
              <c:f>'Hollis '!$D$19:$D$30</c:f>
              <c:numCache>
                <c:formatCode>0.0</c:formatCode>
                <c:ptCount val="12"/>
                <c:pt idx="0">
                  <c:v>618.83000000000004</c:v>
                </c:pt>
                <c:pt idx="1">
                  <c:v>616.02</c:v>
                </c:pt>
                <c:pt idx="2">
                  <c:v>612.63</c:v>
                </c:pt>
                <c:pt idx="3">
                  <c:v>608.16999999999996</c:v>
                </c:pt>
                <c:pt idx="4">
                  <c:v>602.75</c:v>
                </c:pt>
                <c:pt idx="5">
                  <c:v>598.5</c:v>
                </c:pt>
                <c:pt idx="6">
                  <c:v>599.25</c:v>
                </c:pt>
                <c:pt idx="7">
                  <c:v>598.71</c:v>
                </c:pt>
                <c:pt idx="8">
                  <c:v>601.08000000000004</c:v>
                </c:pt>
                <c:pt idx="9">
                  <c:v>601.98</c:v>
                </c:pt>
                <c:pt idx="10">
                  <c:v>611.41999999999996</c:v>
                </c:pt>
                <c:pt idx="11">
                  <c:v>617.13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'Hollis '!$C$18</c:f>
              <c:strCache>
                <c:ptCount val="1"/>
                <c:pt idx="0">
                  <c:v>2017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'Hollis '!$C$19:$C$30</c:f>
              <c:numCache>
                <c:formatCode>0.0</c:formatCode>
                <c:ptCount val="12"/>
                <c:pt idx="0">
                  <c:v>618.88</c:v>
                </c:pt>
                <c:pt idx="1">
                  <c:v>615.94000000000005</c:v>
                </c:pt>
                <c:pt idx="2">
                  <c:v>612.79</c:v>
                </c:pt>
                <c:pt idx="3">
                  <c:v>607.75</c:v>
                </c:pt>
                <c:pt idx="4">
                  <c:v>601.98</c:v>
                </c:pt>
                <c:pt idx="5">
                  <c:v>614.83000000000004</c:v>
                </c:pt>
                <c:pt idx="6">
                  <c:v>618.32000000000005</c:v>
                </c:pt>
                <c:pt idx="7">
                  <c:v>619.75</c:v>
                </c:pt>
                <c:pt idx="8">
                  <c:v>619.66999999999996</c:v>
                </c:pt>
                <c:pt idx="9">
                  <c:v>619.75</c:v>
                </c:pt>
                <c:pt idx="10">
                  <c:v>619.58000000000004</c:v>
                </c:pt>
                <c:pt idx="11">
                  <c:v>619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'Hollis '!$I$18</c:f>
              <c:strCache>
                <c:ptCount val="1"/>
                <c:pt idx="0">
                  <c:v>Actual 2018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'Hollis '!$I$19:$I$30</c:f>
              <c:numCache>
                <c:formatCode>General</c:formatCode>
                <c:ptCount val="12"/>
                <c:pt idx="0">
                  <c:v>619</c:v>
                </c:pt>
                <c:pt idx="1">
                  <c:v>618.08000000000004</c:v>
                </c:pt>
              </c:numCache>
            </c:numRef>
          </c:val>
          <c:smooth val="0"/>
        </c:ser>
        <c:ser>
          <c:idx val="0"/>
          <c:order val="7"/>
          <c:tx>
            <c:strRef>
              <c:f>'Hollis '!$H$18</c:f>
              <c:strCache>
                <c:ptCount val="1"/>
                <c:pt idx="0">
                  <c:v>Projected 2018</c:v>
                </c:pt>
              </c:strCache>
            </c:strRef>
          </c:tx>
          <c:spPr>
            <a:ln w="31750">
              <a:solidFill>
                <a:srgbClr val="FF0000"/>
              </a:solidFill>
              <a:prstDash val="sysDash"/>
              <a:tailEnd type="triangle" w="lg" len="sm"/>
            </a:ln>
          </c:spPr>
          <c:marker>
            <c:symbol val="none"/>
          </c:marker>
          <c:val>
            <c:numRef>
              <c:f>'Hollis '!$H$19:$H$30</c:f>
              <c:numCache>
                <c:formatCode>0.0</c:formatCode>
                <c:ptCount val="12"/>
                <c:pt idx="1">
                  <c:v>618.20000000000005</c:v>
                </c:pt>
                <c:pt idx="2">
                  <c:v>614.06648088216059</c:v>
                </c:pt>
                <c:pt idx="3">
                  <c:v>609.78113675244504</c:v>
                </c:pt>
                <c:pt idx="4">
                  <c:v>605.05866388234529</c:v>
                </c:pt>
                <c:pt idx="5">
                  <c:v>607.60531842552086</c:v>
                </c:pt>
                <c:pt idx="6">
                  <c:v>610.45205649263403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649288"/>
        <c:axId val="345350032"/>
      </c:lineChart>
      <c:catAx>
        <c:axId val="34264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45350032"/>
        <c:crosses val="autoZero"/>
        <c:auto val="1"/>
        <c:lblAlgn val="ctr"/>
        <c:lblOffset val="100"/>
        <c:noMultiLvlLbl val="0"/>
      </c:catAx>
      <c:valAx>
        <c:axId val="345350032"/>
        <c:scaling>
          <c:orientation val="minMax"/>
          <c:min val="57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800">
                    <a:latin typeface="Arial" panose="020B0604020202020204" pitchFamily="34" charset="0"/>
                    <a:cs typeface="Arial" panose="020B0604020202020204" pitchFamily="34" charset="0"/>
                  </a:rPr>
                  <a:t>WATER LEVEL (FT)</a:t>
                </a:r>
              </a:p>
            </c:rich>
          </c:tx>
          <c:layout>
            <c:manualLayout>
              <c:xMode val="edge"/>
              <c:yMode val="edge"/>
              <c:x val="1.9693675860435605E-2"/>
              <c:y val="0.3979063879590304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4264928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6.1586412275388643E-2"/>
          <c:y val="9.875811797563766E-2"/>
          <c:w val="0.89189997083697869"/>
          <c:h val="9.8557050434690693E-2"/>
        </c:manualLayout>
      </c:layout>
      <c:overlay val="0"/>
      <c:spPr>
        <a:ln>
          <a:solidFill>
            <a:srgbClr val="000000"/>
          </a:solidFill>
        </a:ln>
      </c:spPr>
      <c:txPr>
        <a:bodyPr/>
        <a:lstStyle/>
        <a:p>
          <a:pPr>
            <a:defRPr sz="8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4803149606299213" l="0.70866141732283472" r="0.70866141732283472" t="0.74803149606299213" header="0.31496062992125984" footer="0.31496062992125984"/>
    <c:pageSetup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u="sng"/>
            </a:pPr>
            <a:r>
              <a:rPr lang="en-US" sz="1600" u="sng"/>
              <a:t>Hillsborough Reservoir Lake Level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1274230440377"/>
          <c:y val="0.24167063645819498"/>
          <c:w val="0.79727017097910013"/>
          <c:h val="0.70146708223971999"/>
        </c:manualLayout>
      </c:layout>
      <c:lineChart>
        <c:grouping val="standard"/>
        <c:varyColors val="0"/>
        <c:ser>
          <c:idx val="3"/>
          <c:order val="0"/>
          <c:tx>
            <c:strRef>
              <c:f>'Hillsborough '!$E$18</c:f>
              <c:strCache>
                <c:ptCount val="1"/>
                <c:pt idx="0">
                  <c:v>B.D.O. (ft)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'Hillsborough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'Hillsborough '!$E$19:$E$30</c:f>
              <c:numCache>
                <c:formatCode>0.0</c:formatCode>
                <c:ptCount val="12"/>
                <c:pt idx="0">
                  <c:v>845.5</c:v>
                </c:pt>
                <c:pt idx="1">
                  <c:v>845.5</c:v>
                </c:pt>
                <c:pt idx="2">
                  <c:v>845.5</c:v>
                </c:pt>
                <c:pt idx="3">
                  <c:v>845.5</c:v>
                </c:pt>
                <c:pt idx="4">
                  <c:v>845.5</c:v>
                </c:pt>
                <c:pt idx="5">
                  <c:v>845.5</c:v>
                </c:pt>
                <c:pt idx="6">
                  <c:v>845.5</c:v>
                </c:pt>
                <c:pt idx="7">
                  <c:v>845.5</c:v>
                </c:pt>
                <c:pt idx="8">
                  <c:v>845.5</c:v>
                </c:pt>
                <c:pt idx="9">
                  <c:v>845.5</c:v>
                </c:pt>
                <c:pt idx="10">
                  <c:v>845.5</c:v>
                </c:pt>
                <c:pt idx="11">
                  <c:v>845.5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'Hillsborough '!$F$18</c:f>
              <c:strCache>
                <c:ptCount val="1"/>
                <c:pt idx="0">
                  <c:v>T.W.L. (ft)</c:v>
                </c:pt>
              </c:strCache>
            </c:strRef>
          </c:tx>
          <c:spPr>
            <a:ln w="38100">
              <a:prstDash val="solid"/>
              <a:bevel/>
            </a:ln>
          </c:spPr>
          <c:marker>
            <c:symbol val="none"/>
          </c:marker>
          <c:cat>
            <c:strRef>
              <c:f>'Hillsborough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'Hillsborough '!$F$19:$F$30</c:f>
              <c:numCache>
                <c:formatCode>0.0</c:formatCode>
                <c:ptCount val="12"/>
                <c:pt idx="0">
                  <c:v>870</c:v>
                </c:pt>
                <c:pt idx="1">
                  <c:v>870</c:v>
                </c:pt>
                <c:pt idx="2">
                  <c:v>870</c:v>
                </c:pt>
                <c:pt idx="3">
                  <c:v>870</c:v>
                </c:pt>
                <c:pt idx="4">
                  <c:v>870</c:v>
                </c:pt>
                <c:pt idx="5">
                  <c:v>870</c:v>
                </c:pt>
                <c:pt idx="6">
                  <c:v>870</c:v>
                </c:pt>
                <c:pt idx="7">
                  <c:v>870</c:v>
                </c:pt>
                <c:pt idx="8">
                  <c:v>870</c:v>
                </c:pt>
                <c:pt idx="9">
                  <c:v>870</c:v>
                </c:pt>
                <c:pt idx="10">
                  <c:v>870</c:v>
                </c:pt>
                <c:pt idx="11">
                  <c:v>870</c:v>
                </c:pt>
              </c:numCache>
            </c:numRef>
          </c:val>
          <c:smooth val="1"/>
        </c:ser>
        <c:ser>
          <c:idx val="5"/>
          <c:order val="2"/>
          <c:tx>
            <c:strRef>
              <c:f>'Hillsborough '!$G$18</c:f>
              <c:strCache>
                <c:ptCount val="1"/>
                <c:pt idx="0">
                  <c:v>Average (ft)</c:v>
                </c:pt>
              </c:strCache>
            </c:strRef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'Hillsborough 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'Hillsborough '!$G$19:$G$30</c:f>
              <c:numCache>
                <c:formatCode>0.0</c:formatCode>
                <c:ptCount val="12"/>
                <c:pt idx="0">
                  <c:v>868.77</c:v>
                </c:pt>
                <c:pt idx="1">
                  <c:v>867.34</c:v>
                </c:pt>
                <c:pt idx="2">
                  <c:v>865.15</c:v>
                </c:pt>
                <c:pt idx="3">
                  <c:v>862.59</c:v>
                </c:pt>
                <c:pt idx="4">
                  <c:v>860.72</c:v>
                </c:pt>
                <c:pt idx="5">
                  <c:v>860.83</c:v>
                </c:pt>
                <c:pt idx="6">
                  <c:v>861.16</c:v>
                </c:pt>
                <c:pt idx="7">
                  <c:v>863.54</c:v>
                </c:pt>
                <c:pt idx="8">
                  <c:v>865.94</c:v>
                </c:pt>
                <c:pt idx="9">
                  <c:v>868.96</c:v>
                </c:pt>
                <c:pt idx="10">
                  <c:v>869.88</c:v>
                </c:pt>
                <c:pt idx="11">
                  <c:v>869.59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'Hillsborough '!$B$18</c:f>
              <c:strCache>
                <c:ptCount val="1"/>
                <c:pt idx="0">
                  <c:v>2001</c:v>
                </c:pt>
              </c:strCache>
            </c:strRef>
          </c:tx>
          <c:spPr>
            <a:ln w="31750"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val>
            <c:numRef>
              <c:f>'Hillsborough '!$B$19:$B$30</c:f>
              <c:numCache>
                <c:formatCode>0.0</c:formatCode>
                <c:ptCount val="12"/>
                <c:pt idx="0">
                  <c:v>865.1</c:v>
                </c:pt>
                <c:pt idx="1">
                  <c:v>862.7</c:v>
                </c:pt>
                <c:pt idx="2">
                  <c:v>859.1</c:v>
                </c:pt>
                <c:pt idx="3">
                  <c:v>855.5</c:v>
                </c:pt>
                <c:pt idx="4">
                  <c:v>850.9</c:v>
                </c:pt>
                <c:pt idx="5">
                  <c:v>848.5</c:v>
                </c:pt>
                <c:pt idx="6">
                  <c:v>846</c:v>
                </c:pt>
                <c:pt idx="7">
                  <c:v>859.5</c:v>
                </c:pt>
                <c:pt idx="8">
                  <c:v>862.4</c:v>
                </c:pt>
                <c:pt idx="9">
                  <c:v>869.9</c:v>
                </c:pt>
                <c:pt idx="10">
                  <c:v>869.9</c:v>
                </c:pt>
                <c:pt idx="11">
                  <c:v>869.9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'Hillsborough '!$D$18</c:f>
              <c:strCache>
                <c:ptCount val="1"/>
                <c:pt idx="0">
                  <c:v>2015</c:v>
                </c:pt>
              </c:strCache>
            </c:strRef>
          </c:tx>
          <c:spPr>
            <a:ln w="31750">
              <a:solidFill>
                <a:srgbClr val="00B0F0"/>
              </a:solidFill>
              <a:prstDash val="solid"/>
              <a:tailEnd type="none"/>
            </a:ln>
          </c:spPr>
          <c:marker>
            <c:symbol val="none"/>
          </c:marker>
          <c:val>
            <c:numRef>
              <c:f>'Hillsborough '!$D$19:$D$30</c:f>
              <c:numCache>
                <c:formatCode>0.0</c:formatCode>
                <c:ptCount val="12"/>
                <c:pt idx="0">
                  <c:v>869.9</c:v>
                </c:pt>
                <c:pt idx="1">
                  <c:v>868.1</c:v>
                </c:pt>
                <c:pt idx="2">
                  <c:v>865.7</c:v>
                </c:pt>
                <c:pt idx="3">
                  <c:v>862.4</c:v>
                </c:pt>
                <c:pt idx="4">
                  <c:v>858.1</c:v>
                </c:pt>
                <c:pt idx="5">
                  <c:v>853.4</c:v>
                </c:pt>
                <c:pt idx="6">
                  <c:v>848.9</c:v>
                </c:pt>
                <c:pt idx="7">
                  <c:v>845.3</c:v>
                </c:pt>
                <c:pt idx="8">
                  <c:v>849.8</c:v>
                </c:pt>
                <c:pt idx="9">
                  <c:v>856.7</c:v>
                </c:pt>
                <c:pt idx="10">
                  <c:v>865.3</c:v>
                </c:pt>
                <c:pt idx="11">
                  <c:v>866.3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'Hillsborough '!$C$18</c:f>
              <c:strCache>
                <c:ptCount val="1"/>
                <c:pt idx="0">
                  <c:v>2017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'Hillsborough '!$C$19:$C$30</c:f>
              <c:numCache>
                <c:formatCode>0.0</c:formatCode>
                <c:ptCount val="12"/>
                <c:pt idx="0">
                  <c:v>869.7</c:v>
                </c:pt>
                <c:pt idx="1">
                  <c:v>868.4</c:v>
                </c:pt>
                <c:pt idx="2">
                  <c:v>868.4</c:v>
                </c:pt>
                <c:pt idx="3">
                  <c:v>866</c:v>
                </c:pt>
                <c:pt idx="4">
                  <c:v>862.4</c:v>
                </c:pt>
                <c:pt idx="5">
                  <c:v>860.82</c:v>
                </c:pt>
                <c:pt idx="6">
                  <c:v>860.6</c:v>
                </c:pt>
                <c:pt idx="7">
                  <c:v>865.3</c:v>
                </c:pt>
                <c:pt idx="8">
                  <c:v>870</c:v>
                </c:pt>
                <c:pt idx="9">
                  <c:v>870</c:v>
                </c:pt>
                <c:pt idx="10">
                  <c:v>870</c:v>
                </c:pt>
                <c:pt idx="11">
                  <c:v>870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'Hillsborough '!$I$18</c:f>
              <c:strCache>
                <c:ptCount val="1"/>
                <c:pt idx="0">
                  <c:v>Actual 2018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'Hillsborough '!$I$19:$I$30</c:f>
              <c:numCache>
                <c:formatCode>General</c:formatCode>
                <c:ptCount val="12"/>
                <c:pt idx="0">
                  <c:v>870</c:v>
                </c:pt>
                <c:pt idx="1">
                  <c:v>870</c:v>
                </c:pt>
              </c:numCache>
            </c:numRef>
          </c:val>
          <c:smooth val="0"/>
        </c:ser>
        <c:ser>
          <c:idx val="0"/>
          <c:order val="7"/>
          <c:tx>
            <c:strRef>
              <c:f>'Hillsborough '!$H$18</c:f>
              <c:strCache>
                <c:ptCount val="1"/>
                <c:pt idx="0">
                  <c:v>Projected 2018</c:v>
                </c:pt>
              </c:strCache>
            </c:strRef>
          </c:tx>
          <c:spPr>
            <a:ln w="31750">
              <a:solidFill>
                <a:srgbClr val="FF0000"/>
              </a:solidFill>
              <a:prstDash val="sysDash"/>
              <a:tailEnd type="triangle" w="lg" len="sm"/>
            </a:ln>
          </c:spPr>
          <c:marker>
            <c:symbol val="none"/>
          </c:marker>
          <c:val>
            <c:numRef>
              <c:f>'Hillsborough '!$H$19:$H$30</c:f>
              <c:numCache>
                <c:formatCode>0.0</c:formatCode>
                <c:ptCount val="12"/>
                <c:pt idx="1">
                  <c:v>870</c:v>
                </c:pt>
                <c:pt idx="2">
                  <c:v>868.15214781673058</c:v>
                </c:pt>
                <c:pt idx="3">
                  <c:v>866.16269957237023</c:v>
                </c:pt>
                <c:pt idx="4">
                  <c:v>862.904018240553</c:v>
                </c:pt>
                <c:pt idx="5">
                  <c:v>863.53506226359866</c:v>
                </c:pt>
                <c:pt idx="6">
                  <c:v>863.3854752203697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515552"/>
        <c:axId val="342515160"/>
      </c:lineChart>
      <c:catAx>
        <c:axId val="34251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2515160"/>
        <c:crossesAt val="838"/>
        <c:auto val="1"/>
        <c:lblAlgn val="ctr"/>
        <c:lblOffset val="100"/>
        <c:noMultiLvlLbl val="0"/>
      </c:catAx>
      <c:valAx>
        <c:axId val="342515160"/>
        <c:scaling>
          <c:orientation val="minMax"/>
          <c:max val="875"/>
          <c:min val="8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WATER LEVEL (FT)</a:t>
                </a:r>
              </a:p>
            </c:rich>
          </c:tx>
          <c:layout>
            <c:manualLayout>
              <c:xMode val="edge"/>
              <c:yMode val="edge"/>
              <c:x val="2.6595764071157772E-2"/>
              <c:y val="0.4049108705161854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342515552"/>
        <c:crosses val="autoZero"/>
        <c:crossBetween val="between"/>
        <c:majorUnit val="5"/>
        <c:minorUnit val="0.8"/>
      </c:val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6.269136503074145E-2"/>
          <c:y val="0.104296537469941"/>
          <c:w val="0.90115923009623777"/>
          <c:h val="9.8557050434690693E-2"/>
        </c:manualLayout>
      </c:layout>
      <c:overlay val="0"/>
      <c:spPr>
        <a:ln>
          <a:solidFill>
            <a:srgbClr val="000000"/>
          </a:solidFill>
        </a:ln>
      </c:spPr>
    </c:legend>
    <c:plotVisOnly val="1"/>
    <c:dispBlanksAs val="gap"/>
    <c:showDLblsOverMax val="0"/>
  </c:chart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6257925" y="3009900"/>
    <xdr:ext cx="5486400" cy="3657600"/>
    <xdr:graphicFrame macro="">
      <xdr:nvGraphicFramePr>
        <xdr:cNvPr id="3" name="Chart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308725" y="10810875"/>
    <xdr:ext cx="5486400" cy="3657600"/>
    <xdr:graphicFrame macro="">
      <xdr:nvGraphicFramePr>
        <xdr:cNvPr id="4" name="Chart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10820400"/>
    <xdr:ext cx="5486400" cy="3657600"/>
    <xdr:graphicFrame macro="">
      <xdr:nvGraphicFramePr>
        <xdr:cNvPr id="5" name="Chart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247650</xdr:rowOff>
        </xdr:from>
        <xdr:to>
          <xdr:col>5</xdr:col>
          <xdr:colOff>876300</xdr:colOff>
          <xdr:row>1</xdr:row>
          <xdr:rowOff>590550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Forward</a:t>
              </a:r>
            </a:p>
          </xdr:txBody>
        </xdr:sp>
        <xdr:clientData fPrintsWithSheet="0"/>
      </xdr:twoCellAnchor>
    </mc:Choice>
    <mc:Fallback/>
  </mc:AlternateContent>
  <xdr:absoluteAnchor>
    <xdr:pos x="0" y="3009900"/>
    <xdr:ext cx="5486400" cy="3657600"/>
    <xdr:graphicFrame macro="">
      <xdr:nvGraphicFramePr>
        <xdr:cNvPr id="18" name="Chart 17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</xdr:row>
          <xdr:rowOff>0</xdr:rowOff>
        </xdr:from>
        <xdr:to>
          <xdr:col>6</xdr:col>
          <xdr:colOff>866775</xdr:colOff>
          <xdr:row>1</xdr:row>
          <xdr:rowOff>590550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Backward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56885</xdr:colOff>
      <xdr:row>0</xdr:row>
      <xdr:rowOff>0</xdr:rowOff>
    </xdr:from>
    <xdr:to>
      <xdr:col>14</xdr:col>
      <xdr:colOff>780785</xdr:colOff>
      <xdr:row>16</xdr:row>
      <xdr:rowOff>38100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0.15143</cdr:x>
      <cdr:y>0.82128</cdr:y>
    </cdr:from>
    <cdr:to>
      <cdr:x>0.40121</cdr:x>
      <cdr:y>0.86207</cdr:y>
    </cdr:to>
    <cdr:sp macro="" textlink="">
      <cdr:nvSpPr>
        <cdr:cNvPr id="2" name="Text 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93927" y="2916994"/>
          <a:ext cx="1474481" cy="1448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BOTTOM DRAW-OFF (80.0 ft)</a:t>
          </a:r>
        </a:p>
      </cdr:txBody>
    </cdr:sp>
  </cdr:relSizeAnchor>
  <cdr:relSizeAnchor xmlns:cdr="http://schemas.openxmlformats.org/drawingml/2006/chartDrawing">
    <cdr:from>
      <cdr:x>0.18516</cdr:x>
      <cdr:y>0.26217</cdr:y>
    </cdr:from>
    <cdr:to>
      <cdr:x>0.38865</cdr:x>
      <cdr:y>0.29803</cdr:y>
    </cdr:to>
    <cdr:sp macro="" textlink="">
      <cdr:nvSpPr>
        <cdr:cNvPr id="14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92998" y="931168"/>
          <a:ext cx="1201225" cy="1273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SPILLWAY ELEVATION (119.0 ft)</a:t>
          </a:r>
        </a:p>
      </cdr:txBody>
    </cdr:sp>
  </cdr:relSizeAnchor>
  <cdr:relSizeAnchor xmlns:cdr="http://schemas.openxmlformats.org/drawingml/2006/chartDrawing">
    <cdr:from>
      <cdr:x>0.74582</cdr:x>
      <cdr:y>0.82937</cdr:y>
    </cdr:from>
    <cdr:to>
      <cdr:x>0.85416</cdr:x>
      <cdr:y>0.85629</cdr:y>
    </cdr:to>
    <cdr:sp macro="" textlink="">
      <cdr:nvSpPr>
        <cdr:cNvPr id="15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91888" y="3033517"/>
          <a:ext cx="594397" cy="984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LIVE STORAGE</a:t>
          </a:r>
        </a:p>
      </cdr:txBody>
    </cdr:sp>
  </cdr:relSizeAnchor>
  <cdr:relSizeAnchor xmlns:cdr="http://schemas.openxmlformats.org/drawingml/2006/chartDrawing">
    <cdr:from>
      <cdr:x>0.689</cdr:x>
      <cdr:y>0.88374</cdr:y>
    </cdr:from>
    <cdr:to>
      <cdr:x>0.84665</cdr:x>
      <cdr:y>0.91065</cdr:y>
    </cdr:to>
    <cdr:sp macro="" textlink="">
      <cdr:nvSpPr>
        <cdr:cNvPr id="16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80138" y="3232385"/>
          <a:ext cx="864931" cy="984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DEAD WATER / SLUSH</a:t>
          </a:r>
        </a:p>
      </cdr:txBody>
    </cdr:sp>
  </cdr:relSizeAnchor>
  <cdr:relSizeAnchor xmlns:cdr="http://schemas.openxmlformats.org/drawingml/2006/chartDrawing">
    <cdr:from>
      <cdr:x>0.8724</cdr:x>
      <cdr:y>0.27464</cdr:y>
    </cdr:from>
    <cdr:to>
      <cdr:x>0.96962</cdr:x>
      <cdr:y>0.87124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786314" y="1004515"/>
          <a:ext cx="533399" cy="21821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182880" rtlCol="0"/>
        <a:lstStyle xmlns:a="http://schemas.openxmlformats.org/drawingml/2006/main"/>
        <a:p xmlns:a="http://schemas.openxmlformats.org/drawingml/2006/main">
          <a:r>
            <a:rPr lang="en-GB" sz="800"/>
            <a:t>100%</a:t>
          </a:r>
        </a:p>
        <a:p xmlns:a="http://schemas.openxmlformats.org/drawingml/2006/main">
          <a:endParaRPr lang="en-GB" sz="800"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endParaRPr lang="en-GB" sz="800"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50%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25%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0%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115358</xdr:colOff>
      <xdr:row>0</xdr:row>
      <xdr:rowOff>0</xdr:rowOff>
    </xdr:from>
    <xdr:to>
      <xdr:col>13</xdr:col>
      <xdr:colOff>839258</xdr:colOff>
      <xdr:row>16</xdr:row>
      <xdr:rowOff>80433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0.14534</cdr:x>
      <cdr:y>0.84391</cdr:y>
    </cdr:from>
    <cdr:to>
      <cdr:x>0.40487</cdr:x>
      <cdr:y>0.8847</cdr:y>
    </cdr:to>
    <cdr:sp macro="" textlink="">
      <cdr:nvSpPr>
        <cdr:cNvPr id="2" name="Text 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49334" y="2997373"/>
          <a:ext cx="1516586" cy="1448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BOTTOM DRAW-OFF (269.0 ft)</a:t>
          </a:r>
        </a:p>
      </cdr:txBody>
    </cdr:sp>
  </cdr:relSizeAnchor>
  <cdr:relSizeAnchor xmlns:cdr="http://schemas.openxmlformats.org/drawingml/2006/chartDrawing">
    <cdr:from>
      <cdr:x>0.17686</cdr:x>
      <cdr:y>0.28678</cdr:y>
    </cdr:from>
    <cdr:to>
      <cdr:x>0.38006</cdr:x>
      <cdr:y>0.32159</cdr:y>
    </cdr:to>
    <cdr:sp macro="" textlink="">
      <cdr:nvSpPr>
        <cdr:cNvPr id="14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3511" y="1018579"/>
          <a:ext cx="1187417" cy="1236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SPILLWAY ELEVATION (312.0 ft)</a:t>
          </a:r>
        </a:p>
      </cdr:txBody>
    </cdr:sp>
  </cdr:relSizeAnchor>
  <cdr:relSizeAnchor xmlns:cdr="http://schemas.openxmlformats.org/drawingml/2006/chartDrawing">
    <cdr:from>
      <cdr:x>0.73833</cdr:x>
      <cdr:y>0.8572</cdr:y>
    </cdr:from>
    <cdr:to>
      <cdr:x>0.84667</cdr:x>
      <cdr:y>0.88412</cdr:y>
    </cdr:to>
    <cdr:sp macro="" textlink="">
      <cdr:nvSpPr>
        <cdr:cNvPr id="15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50795" y="3135311"/>
          <a:ext cx="594396" cy="984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LIVE STORAGE</a:t>
          </a:r>
        </a:p>
      </cdr:txBody>
    </cdr:sp>
  </cdr:relSizeAnchor>
  <cdr:relSizeAnchor xmlns:cdr="http://schemas.openxmlformats.org/drawingml/2006/chartDrawing">
    <cdr:from>
      <cdr:x>0.6827</cdr:x>
      <cdr:y>0.90229</cdr:y>
    </cdr:from>
    <cdr:to>
      <cdr:x>0.84035</cdr:x>
      <cdr:y>0.9292</cdr:y>
    </cdr:to>
    <cdr:sp macro="" textlink="">
      <cdr:nvSpPr>
        <cdr:cNvPr id="16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45575" y="3300233"/>
          <a:ext cx="864931" cy="984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DEAD WATER / SLUSH</a:t>
          </a:r>
        </a:p>
      </cdr:txBody>
    </cdr:sp>
  </cdr:relSizeAnchor>
  <cdr:relSizeAnchor xmlns:cdr="http://schemas.openxmlformats.org/drawingml/2006/chartDrawing">
    <cdr:from>
      <cdr:x>0.84981</cdr:x>
      <cdr:y>0.28595</cdr:y>
    </cdr:from>
    <cdr:to>
      <cdr:x>0.97266</cdr:x>
      <cdr:y>0.87468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2398" y="1045891"/>
          <a:ext cx="673983" cy="2153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274320" rtlCol="0"/>
        <a:lstStyle xmlns:a="http://schemas.openxmlformats.org/drawingml/2006/main"/>
        <a:p xmlns:a="http://schemas.openxmlformats.org/drawingml/2006/main">
          <a:r>
            <a:rPr lang="en-GB" sz="800">
              <a:latin typeface="Arial" panose="020B0604020202020204" pitchFamily="34" charset="0"/>
              <a:cs typeface="Arial" panose="020B0604020202020204" pitchFamily="34" charset="0"/>
            </a:rPr>
            <a:t>100</a:t>
          </a:r>
          <a:r>
            <a:rPr lang="en-GB" sz="800"/>
            <a:t>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50%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25%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0%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107156</xdr:colOff>
      <xdr:row>0</xdr:row>
      <xdr:rowOff>0</xdr:rowOff>
    </xdr:from>
    <xdr:to>
      <xdr:col>13</xdr:col>
      <xdr:colOff>831056</xdr:colOff>
      <xdr:row>16</xdr:row>
      <xdr:rowOff>80433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0.14332</cdr:x>
      <cdr:y>0.80988</cdr:y>
    </cdr:from>
    <cdr:to>
      <cdr:x>0.3931</cdr:x>
      <cdr:y>0.85067</cdr:y>
    </cdr:to>
    <cdr:sp macro="" textlink="">
      <cdr:nvSpPr>
        <cdr:cNvPr id="2" name="Text 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37477" y="2876505"/>
          <a:ext cx="1459611" cy="1448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BOTTOM DRAW-OFF (576 ft)</a:t>
          </a:r>
        </a:p>
      </cdr:txBody>
    </cdr:sp>
  </cdr:relSizeAnchor>
  <cdr:relSizeAnchor xmlns:cdr="http://schemas.openxmlformats.org/drawingml/2006/chartDrawing">
    <cdr:from>
      <cdr:x>0.14002</cdr:x>
      <cdr:y>0.30627</cdr:y>
    </cdr:from>
    <cdr:to>
      <cdr:x>0.41907</cdr:x>
      <cdr:y>0.34706</cdr:y>
    </cdr:to>
    <cdr:sp macro="" textlink="">
      <cdr:nvSpPr>
        <cdr:cNvPr id="14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8246" y="1087801"/>
          <a:ext cx="1630653" cy="1448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SPILLWAY ELEVATION (619.0 ft)</a:t>
          </a:r>
        </a:p>
      </cdr:txBody>
    </cdr:sp>
  </cdr:relSizeAnchor>
  <cdr:relSizeAnchor xmlns:cdr="http://schemas.openxmlformats.org/drawingml/2006/chartDrawing">
    <cdr:from>
      <cdr:x>0.73497</cdr:x>
      <cdr:y>0.81909</cdr:y>
    </cdr:from>
    <cdr:to>
      <cdr:x>0.84331</cdr:x>
      <cdr:y>0.84601</cdr:y>
    </cdr:to>
    <cdr:sp macro="" textlink="">
      <cdr:nvSpPr>
        <cdr:cNvPr id="15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32356" y="2995919"/>
          <a:ext cx="594397" cy="984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LIVE STORAGE</a:t>
          </a:r>
        </a:p>
      </cdr:txBody>
    </cdr:sp>
  </cdr:relSizeAnchor>
  <cdr:relSizeAnchor xmlns:cdr="http://schemas.openxmlformats.org/drawingml/2006/chartDrawing">
    <cdr:from>
      <cdr:x>0.68382</cdr:x>
      <cdr:y>0.86604</cdr:y>
    </cdr:from>
    <cdr:to>
      <cdr:x>0.84147</cdr:x>
      <cdr:y>0.89295</cdr:y>
    </cdr:to>
    <cdr:sp macro="" textlink="">
      <cdr:nvSpPr>
        <cdr:cNvPr id="16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51716" y="3167643"/>
          <a:ext cx="864931" cy="984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DEAD WATER / SLUSH</a:t>
          </a:r>
        </a:p>
      </cdr:txBody>
    </cdr:sp>
  </cdr:relSizeAnchor>
  <cdr:relSizeAnchor xmlns:cdr="http://schemas.openxmlformats.org/drawingml/2006/chartDrawing">
    <cdr:from>
      <cdr:x>0.88164</cdr:x>
      <cdr:y>0.32676</cdr:y>
    </cdr:from>
    <cdr:to>
      <cdr:x>0.9659</cdr:x>
      <cdr:y>0.82688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172075" y="1294447"/>
          <a:ext cx="494348" cy="1981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800"/>
            <a:t>100%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50%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25%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148167</xdr:colOff>
      <xdr:row>0</xdr:row>
      <xdr:rowOff>0</xdr:rowOff>
    </xdr:from>
    <xdr:to>
      <xdr:col>13</xdr:col>
      <xdr:colOff>872067</xdr:colOff>
      <xdr:row>16</xdr:row>
      <xdr:rowOff>80433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0.14441</cdr:x>
      <cdr:y>0.78996</cdr:y>
    </cdr:from>
    <cdr:to>
      <cdr:x>0.40394</cdr:x>
      <cdr:y>0.83074</cdr:y>
    </cdr:to>
    <cdr:sp macro="" textlink="">
      <cdr:nvSpPr>
        <cdr:cNvPr id="2" name="Text 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43886" y="2805754"/>
          <a:ext cx="1516587" cy="1448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BOTTOM DRAW-OFF (845.0 ft)</a:t>
          </a:r>
        </a:p>
      </cdr:txBody>
    </cdr:sp>
  </cdr:relSizeAnchor>
  <cdr:relSizeAnchor xmlns:cdr="http://schemas.openxmlformats.org/drawingml/2006/chartDrawing">
    <cdr:from>
      <cdr:x>0.13326</cdr:x>
      <cdr:y>0.28881</cdr:y>
    </cdr:from>
    <cdr:to>
      <cdr:x>0.43091</cdr:x>
      <cdr:y>0.33367</cdr:y>
    </cdr:to>
    <cdr:sp macro="" textlink="">
      <cdr:nvSpPr>
        <cdr:cNvPr id="14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78736" y="1025787"/>
          <a:ext cx="1739344" cy="1593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SPILLWAY ELEVATION (870.0 ft)</a:t>
          </a:r>
        </a:p>
      </cdr:txBody>
    </cdr:sp>
  </cdr:relSizeAnchor>
  <cdr:relSizeAnchor xmlns:cdr="http://schemas.openxmlformats.org/drawingml/2006/chartDrawing">
    <cdr:from>
      <cdr:x>0.75986</cdr:x>
      <cdr:y>0.80029</cdr:y>
    </cdr:from>
    <cdr:to>
      <cdr:x>0.8682</cdr:x>
      <cdr:y>0.82721</cdr:y>
    </cdr:to>
    <cdr:sp macro="" textlink="">
      <cdr:nvSpPr>
        <cdr:cNvPr id="15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68896" y="2927123"/>
          <a:ext cx="594396" cy="984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LIVE STORAGE</a:t>
          </a:r>
        </a:p>
      </cdr:txBody>
    </cdr:sp>
  </cdr:relSizeAnchor>
  <cdr:relSizeAnchor xmlns:cdr="http://schemas.openxmlformats.org/drawingml/2006/chartDrawing">
    <cdr:from>
      <cdr:x>0.70341</cdr:x>
      <cdr:y>0.85112</cdr:y>
    </cdr:from>
    <cdr:to>
      <cdr:x>0.86106</cdr:x>
      <cdr:y>0.87803</cdr:y>
    </cdr:to>
    <cdr:sp macro="" textlink="">
      <cdr:nvSpPr>
        <cdr:cNvPr id="16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59187" y="3113056"/>
          <a:ext cx="864931" cy="984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DEAD WATER / SLUSH</a:t>
          </a:r>
        </a:p>
      </cdr:txBody>
    </cdr:sp>
  </cdr:relSizeAnchor>
  <cdr:relSizeAnchor xmlns:cdr="http://schemas.openxmlformats.org/drawingml/2006/chartDrawing">
    <cdr:from>
      <cdr:x>0.90167</cdr:x>
      <cdr:y>0.30909</cdr:y>
    </cdr:from>
    <cdr:to>
      <cdr:x>0.98593</cdr:x>
      <cdr:y>0.81192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946923" y="1130534"/>
          <a:ext cx="462284" cy="1839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109728" rtlCol="0"/>
        <a:lstStyle xmlns:a="http://schemas.openxmlformats.org/drawingml/2006/main"/>
        <a:p xmlns:a="http://schemas.openxmlformats.org/drawingml/2006/main">
          <a:r>
            <a:rPr lang="en-GB" sz="800"/>
            <a:t>100%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50%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25%</a:t>
          </a:r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endParaRPr lang="en-GB" sz="800"/>
        </a:p>
        <a:p xmlns:a="http://schemas.openxmlformats.org/drawingml/2006/main">
          <a:r>
            <a:rPr lang="en-GB" sz="800"/>
            <a:t>0%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1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Forward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72"/>
  <sheetViews>
    <sheetView zoomScale="90" zoomScaleNormal="90" zoomScaleSheetLayoutView="80" workbookViewId="0">
      <selection activeCell="D3" sqref="D3:D14"/>
    </sheetView>
  </sheetViews>
  <sheetFormatPr defaultColWidth="13.42578125" defaultRowHeight="12.75" x14ac:dyDescent="0.25"/>
  <cols>
    <col min="1" max="5" width="13.42578125" style="89"/>
    <col min="6" max="6" width="13.42578125" style="152"/>
    <col min="7" max="12" width="13.42578125" style="89"/>
    <col min="13" max="13" width="13.42578125" style="152"/>
    <col min="14" max="16384" width="13.42578125" style="89"/>
  </cols>
  <sheetData>
    <row r="1" spans="1:13" s="85" customFormat="1" ht="20.25" x14ac:dyDescent="0.25">
      <c r="A1" s="209" t="s">
        <v>98</v>
      </c>
      <c r="B1" s="210"/>
      <c r="C1" s="210"/>
      <c r="D1" s="210"/>
      <c r="E1" s="211"/>
      <c r="F1" s="150"/>
      <c r="H1" s="212" t="s">
        <v>97</v>
      </c>
      <c r="I1" s="212"/>
      <c r="J1" s="212"/>
      <c r="K1" s="212"/>
      <c r="L1" s="212"/>
      <c r="M1" s="150"/>
    </row>
    <row r="2" spans="1:13" s="87" customFormat="1" ht="51" x14ac:dyDescent="0.25">
      <c r="A2" s="83" t="s">
        <v>20</v>
      </c>
      <c r="B2" s="83" t="s">
        <v>94</v>
      </c>
      <c r="C2" s="83" t="s">
        <v>93</v>
      </c>
      <c r="D2" s="83" t="s">
        <v>108</v>
      </c>
      <c r="E2" s="86" t="s">
        <v>92</v>
      </c>
      <c r="F2" s="151"/>
      <c r="H2" s="83" t="s">
        <v>20</v>
      </c>
      <c r="I2" s="83" t="s">
        <v>94</v>
      </c>
      <c r="J2" s="83" t="s">
        <v>93</v>
      </c>
      <c r="K2" s="83" t="s">
        <v>109</v>
      </c>
      <c r="L2" s="86" t="s">
        <v>92</v>
      </c>
      <c r="M2" s="151"/>
    </row>
    <row r="3" spans="1:13" x14ac:dyDescent="0.25">
      <c r="A3" s="88">
        <v>42979</v>
      </c>
      <c r="B3" s="144">
        <v>132.30000000000001</v>
      </c>
      <c r="C3" s="147">
        <v>226.6</v>
      </c>
      <c r="D3" s="144">
        <v>233.7</v>
      </c>
      <c r="E3" s="144">
        <v>48.7</v>
      </c>
      <c r="F3" s="145">
        <f>(C3-D3)/D3*100</f>
        <v>-3.0380830124090692</v>
      </c>
      <c r="H3" s="88">
        <f>A3</f>
        <v>42979</v>
      </c>
      <c r="I3" s="144">
        <v>155.6</v>
      </c>
      <c r="J3" s="144">
        <v>234.8</v>
      </c>
      <c r="K3" s="144">
        <v>222.8</v>
      </c>
      <c r="L3" s="144">
        <v>102.6</v>
      </c>
      <c r="M3" s="145">
        <f t="shared" ref="M3:M10" si="0">(J3-K3)/K3*100</f>
        <v>5.3859964093357267</v>
      </c>
    </row>
    <row r="4" spans="1:13" x14ac:dyDescent="0.25">
      <c r="A4" s="88">
        <v>43009</v>
      </c>
      <c r="B4" s="144">
        <v>208</v>
      </c>
      <c r="C4" s="144">
        <v>541.20000000000005</v>
      </c>
      <c r="D4" s="144">
        <v>205.2</v>
      </c>
      <c r="E4" s="144">
        <v>128</v>
      </c>
      <c r="F4" s="145">
        <f>(C4-D4)/D4*100</f>
        <v>163.74269005847958</v>
      </c>
      <c r="H4" s="88">
        <f t="shared" ref="H4" si="1">A4</f>
        <v>43009</v>
      </c>
      <c r="I4" s="144">
        <v>212</v>
      </c>
      <c r="J4" s="144">
        <v>533.4</v>
      </c>
      <c r="K4" s="144">
        <v>226</v>
      </c>
      <c r="L4" s="144">
        <v>135</v>
      </c>
      <c r="M4" s="145">
        <f t="shared" si="0"/>
        <v>136.01769911504425</v>
      </c>
    </row>
    <row r="5" spans="1:13" x14ac:dyDescent="0.25">
      <c r="A5" s="88">
        <v>43040</v>
      </c>
      <c r="B5" s="144">
        <v>265</v>
      </c>
      <c r="C5" s="144">
        <v>148</v>
      </c>
      <c r="D5" s="144">
        <v>301.8</v>
      </c>
      <c r="E5" s="144">
        <v>203</v>
      </c>
      <c r="F5" s="145">
        <f t="shared" ref="F5:F10" si="2">(C5-D5)/D5*100</f>
        <v>-50.960901259111999</v>
      </c>
      <c r="H5" s="88">
        <f>A5</f>
        <v>43040</v>
      </c>
      <c r="I5" s="144">
        <v>306</v>
      </c>
      <c r="J5" s="144">
        <v>207.4</v>
      </c>
      <c r="K5" s="144">
        <v>299.2</v>
      </c>
      <c r="L5" s="144">
        <v>207</v>
      </c>
      <c r="M5" s="145">
        <f t="shared" si="0"/>
        <v>-30.681818181818176</v>
      </c>
    </row>
    <row r="6" spans="1:13" x14ac:dyDescent="0.25">
      <c r="A6" s="88">
        <v>43070</v>
      </c>
      <c r="B6" s="144">
        <v>308</v>
      </c>
      <c r="C6" s="144">
        <v>401.2</v>
      </c>
      <c r="D6" s="144">
        <v>206.9</v>
      </c>
      <c r="E6" s="144">
        <v>179</v>
      </c>
      <c r="F6" s="145">
        <f t="shared" si="2"/>
        <v>93.91010149830835</v>
      </c>
      <c r="H6" s="88">
        <f>A6</f>
        <v>43070</v>
      </c>
      <c r="I6" s="144">
        <v>274</v>
      </c>
      <c r="J6" s="144">
        <v>467.4</v>
      </c>
      <c r="K6" s="144">
        <v>231.6</v>
      </c>
      <c r="L6" s="144">
        <v>227</v>
      </c>
      <c r="M6" s="145">
        <f t="shared" si="0"/>
        <v>101.81347150259066</v>
      </c>
    </row>
    <row r="7" spans="1:13" x14ac:dyDescent="0.25">
      <c r="A7" s="88">
        <v>43101</v>
      </c>
      <c r="B7" s="162">
        <v>158</v>
      </c>
      <c r="C7" s="147">
        <v>155.4</v>
      </c>
      <c r="D7" s="144">
        <v>95.7</v>
      </c>
      <c r="E7" s="144">
        <v>77.099999999999994</v>
      </c>
      <c r="F7" s="145">
        <f t="shared" si="2"/>
        <v>62.382445141065837</v>
      </c>
      <c r="H7" s="88">
        <f>A7</f>
        <v>43101</v>
      </c>
      <c r="I7" s="143">
        <v>149.1</v>
      </c>
      <c r="J7" s="147">
        <v>168.4</v>
      </c>
      <c r="K7" s="144">
        <v>122.3</v>
      </c>
      <c r="L7" s="144">
        <v>75.3</v>
      </c>
      <c r="M7" s="145">
        <f t="shared" si="0"/>
        <v>37.694194603434184</v>
      </c>
    </row>
    <row r="8" spans="1:13" x14ac:dyDescent="0.25">
      <c r="A8" s="88">
        <v>43132</v>
      </c>
      <c r="B8" s="162">
        <v>85</v>
      </c>
      <c r="C8" s="144">
        <v>100.6</v>
      </c>
      <c r="D8" s="144">
        <v>67</v>
      </c>
      <c r="E8" s="144">
        <v>45</v>
      </c>
      <c r="F8" s="145">
        <f t="shared" si="2"/>
        <v>50.149253731343279</v>
      </c>
      <c r="H8" s="88">
        <f t="shared" ref="H8" si="3">A8</f>
        <v>43132</v>
      </c>
      <c r="I8" s="143">
        <v>84</v>
      </c>
      <c r="J8" s="144">
        <v>82.8</v>
      </c>
      <c r="K8" s="144">
        <v>80.400000000000006</v>
      </c>
      <c r="L8" s="144">
        <v>35</v>
      </c>
      <c r="M8" s="145">
        <f t="shared" si="0"/>
        <v>2.9850746268656607</v>
      </c>
    </row>
    <row r="9" spans="1:13" x14ac:dyDescent="0.25">
      <c r="A9" s="88">
        <v>43160</v>
      </c>
      <c r="B9" s="162">
        <v>62</v>
      </c>
      <c r="C9" s="144"/>
      <c r="D9" s="144">
        <v>48.6</v>
      </c>
      <c r="E9" s="144">
        <v>19</v>
      </c>
      <c r="F9" s="145">
        <f t="shared" si="2"/>
        <v>-100</v>
      </c>
      <c r="H9" s="88">
        <f t="shared" ref="H9" si="4">A9</f>
        <v>43160</v>
      </c>
      <c r="I9" s="143">
        <v>68</v>
      </c>
      <c r="J9" s="144"/>
      <c r="K9" s="144">
        <v>52.1</v>
      </c>
      <c r="L9" s="144">
        <v>33</v>
      </c>
      <c r="M9" s="145">
        <f t="shared" si="0"/>
        <v>-100</v>
      </c>
    </row>
    <row r="10" spans="1:13" x14ac:dyDescent="0.25">
      <c r="A10" s="88">
        <v>43191</v>
      </c>
      <c r="B10" s="162">
        <v>56</v>
      </c>
      <c r="C10" s="144"/>
      <c r="D10" s="144">
        <v>54.4</v>
      </c>
      <c r="E10" s="144">
        <v>22</v>
      </c>
      <c r="F10" s="145">
        <f t="shared" si="2"/>
        <v>-100</v>
      </c>
      <c r="H10" s="88">
        <f t="shared" ref="H10" si="5">A10</f>
        <v>43191</v>
      </c>
      <c r="I10" s="146">
        <v>48</v>
      </c>
      <c r="J10" s="144"/>
      <c r="K10" s="144">
        <v>67.599999999999994</v>
      </c>
      <c r="L10" s="144">
        <v>23</v>
      </c>
      <c r="M10" s="145">
        <f t="shared" si="0"/>
        <v>-100</v>
      </c>
    </row>
    <row r="11" spans="1:13" x14ac:dyDescent="0.25">
      <c r="A11" s="88">
        <v>43221</v>
      </c>
      <c r="B11" s="162">
        <v>70</v>
      </c>
      <c r="C11" s="147"/>
      <c r="D11" s="144">
        <v>129.4</v>
      </c>
      <c r="E11" s="144">
        <v>14</v>
      </c>
      <c r="F11" s="145">
        <f>(C11-D11)/D11*100</f>
        <v>-100</v>
      </c>
      <c r="H11" s="88">
        <f>A11</f>
        <v>43221</v>
      </c>
      <c r="I11" s="146">
        <v>88</v>
      </c>
      <c r="J11" s="147"/>
      <c r="K11" s="144">
        <v>147.19999999999999</v>
      </c>
      <c r="L11" s="144">
        <v>43</v>
      </c>
      <c r="M11" s="145">
        <f>(J11-K11)/K11*100</f>
        <v>-100</v>
      </c>
    </row>
    <row r="12" spans="1:13" x14ac:dyDescent="0.25">
      <c r="A12" s="88">
        <v>43252</v>
      </c>
      <c r="B12" s="162">
        <v>279</v>
      </c>
      <c r="C12" s="144"/>
      <c r="D12" s="144">
        <v>271.8</v>
      </c>
      <c r="E12" s="144">
        <v>153</v>
      </c>
      <c r="F12" s="145">
        <f>(C12-D12)/D12*100</f>
        <v>-100</v>
      </c>
      <c r="H12" s="88">
        <f>A12</f>
        <v>43252</v>
      </c>
      <c r="I12" s="146">
        <v>297</v>
      </c>
      <c r="J12" s="144"/>
      <c r="K12" s="144">
        <v>288</v>
      </c>
      <c r="L12" s="144">
        <v>181</v>
      </c>
      <c r="M12" s="145">
        <f>(J12-K12)/K12*100</f>
        <v>-100</v>
      </c>
    </row>
    <row r="13" spans="1:13" x14ac:dyDescent="0.25">
      <c r="A13" s="88">
        <v>43282</v>
      </c>
      <c r="B13" s="163">
        <v>265</v>
      </c>
      <c r="C13" s="163"/>
      <c r="D13" s="163">
        <v>257.39999999999998</v>
      </c>
      <c r="E13" s="163">
        <v>182</v>
      </c>
      <c r="F13" s="145">
        <f t="shared" ref="F13" si="6">(C13-D13)/D13*100</f>
        <v>-100</v>
      </c>
      <c r="H13" s="88">
        <f>A13</f>
        <v>43282</v>
      </c>
      <c r="I13" s="163">
        <v>198</v>
      </c>
      <c r="J13" s="163"/>
      <c r="K13" s="163">
        <v>296</v>
      </c>
      <c r="L13" s="163">
        <v>98</v>
      </c>
      <c r="M13" s="145">
        <f>(J13-K13)/K13*100</f>
        <v>-100</v>
      </c>
    </row>
    <row r="14" spans="1:13" x14ac:dyDescent="0.25">
      <c r="A14" s="88">
        <v>43313</v>
      </c>
      <c r="B14" s="144">
        <v>250</v>
      </c>
      <c r="C14" s="144"/>
      <c r="D14" s="144">
        <v>236.3</v>
      </c>
      <c r="E14" s="144">
        <v>167</v>
      </c>
      <c r="F14" s="145">
        <f>(C14-D14)/D14*100</f>
        <v>-100</v>
      </c>
      <c r="H14" s="88">
        <f>A14</f>
        <v>43313</v>
      </c>
      <c r="I14" s="144">
        <v>237</v>
      </c>
      <c r="J14" s="144"/>
      <c r="K14" s="144">
        <v>268.8</v>
      </c>
      <c r="L14" s="144">
        <v>143</v>
      </c>
      <c r="M14" s="145">
        <f>(J14-K14)/K14*100</f>
        <v>-100</v>
      </c>
    </row>
    <row r="17" spans="1:4" x14ac:dyDescent="0.2">
      <c r="A17" s="90"/>
      <c r="C17" s="91"/>
      <c r="D17" s="92"/>
    </row>
    <row r="32" spans="1:4" x14ac:dyDescent="0.25">
      <c r="A32" s="90"/>
    </row>
    <row r="33" spans="1:13" x14ac:dyDescent="0.25">
      <c r="A33" s="93"/>
    </row>
    <row r="34" spans="1:13" x14ac:dyDescent="0.25">
      <c r="A34" s="90"/>
    </row>
    <row r="35" spans="1:13" x14ac:dyDescent="0.25">
      <c r="A35" s="90"/>
    </row>
    <row r="36" spans="1:13" x14ac:dyDescent="0.25">
      <c r="A36" s="90"/>
    </row>
    <row r="37" spans="1:13" x14ac:dyDescent="0.25">
      <c r="A37" s="90"/>
    </row>
    <row r="38" spans="1:13" x14ac:dyDescent="0.25">
      <c r="A38" s="90"/>
    </row>
    <row r="39" spans="1:13" x14ac:dyDescent="0.25">
      <c r="A39" s="90"/>
    </row>
    <row r="40" spans="1:13" x14ac:dyDescent="0.25">
      <c r="A40" s="90"/>
    </row>
    <row r="46" spans="1:13" ht="15" customHeight="1" x14ac:dyDescent="0.25">
      <c r="A46" s="212" t="s">
        <v>96</v>
      </c>
      <c r="B46" s="212"/>
      <c r="C46" s="212"/>
      <c r="D46" s="212"/>
      <c r="E46" s="212"/>
      <c r="F46" s="150"/>
      <c r="G46" s="85"/>
      <c r="H46" s="213" t="s">
        <v>95</v>
      </c>
      <c r="I46" s="214"/>
      <c r="J46" s="214"/>
      <c r="K46" s="214"/>
      <c r="L46" s="215"/>
    </row>
    <row r="47" spans="1:13" ht="51" x14ac:dyDescent="0.25">
      <c r="A47" s="83" t="s">
        <v>20</v>
      </c>
      <c r="B47" s="83" t="s">
        <v>94</v>
      </c>
      <c r="C47" s="83" t="s">
        <v>93</v>
      </c>
      <c r="D47" s="83" t="s">
        <v>109</v>
      </c>
      <c r="E47" s="86" t="s">
        <v>92</v>
      </c>
      <c r="F47" s="151"/>
      <c r="G47" s="87"/>
      <c r="H47" s="83" t="s">
        <v>20</v>
      </c>
      <c r="I47" s="83" t="s">
        <v>94</v>
      </c>
      <c r="J47" s="83" t="s">
        <v>93</v>
      </c>
      <c r="K47" s="83" t="s">
        <v>109</v>
      </c>
      <c r="L47" s="86" t="s">
        <v>92</v>
      </c>
    </row>
    <row r="48" spans="1:13" x14ac:dyDescent="0.25">
      <c r="A48" s="88">
        <f>A3</f>
        <v>42979</v>
      </c>
      <c r="B48" s="144">
        <v>195.4</v>
      </c>
      <c r="C48" s="147">
        <v>278.5</v>
      </c>
      <c r="D48" s="144">
        <v>267.10000000000002</v>
      </c>
      <c r="E48" s="144">
        <v>89.9</v>
      </c>
      <c r="F48" s="145">
        <f t="shared" ref="F48:F53" si="7">(C48-D48)/D48*100</f>
        <v>4.268064395357535</v>
      </c>
      <c r="H48" s="88">
        <f>A3</f>
        <v>42979</v>
      </c>
      <c r="I48" s="144">
        <v>200.8</v>
      </c>
      <c r="J48" s="147">
        <v>209.4</v>
      </c>
      <c r="K48" s="144">
        <v>238.6</v>
      </c>
      <c r="L48" s="144">
        <v>96.1</v>
      </c>
      <c r="M48" s="145">
        <f t="shared" ref="M48:M55" si="8">(J48-K48)/K48*100</f>
        <v>-12.238055322715837</v>
      </c>
    </row>
    <row r="49" spans="1:13" x14ac:dyDescent="0.25">
      <c r="A49" s="88">
        <f>A4</f>
        <v>43009</v>
      </c>
      <c r="B49" s="144">
        <v>290</v>
      </c>
      <c r="C49" s="144">
        <v>738.5</v>
      </c>
      <c r="D49" s="144">
        <v>308.60000000000002</v>
      </c>
      <c r="E49" s="144">
        <v>207</v>
      </c>
      <c r="F49" s="145">
        <f t="shared" si="7"/>
        <v>139.30654569021385</v>
      </c>
      <c r="H49" s="88">
        <f>A4</f>
        <v>43009</v>
      </c>
      <c r="I49" s="144">
        <v>300</v>
      </c>
      <c r="J49" s="144">
        <v>481.5</v>
      </c>
      <c r="K49" s="144">
        <v>279.3</v>
      </c>
      <c r="L49" s="144">
        <v>214</v>
      </c>
      <c r="M49" s="145">
        <f t="shared" si="8"/>
        <v>72.395273899033285</v>
      </c>
    </row>
    <row r="50" spans="1:13" x14ac:dyDescent="0.25">
      <c r="A50" s="88">
        <f t="shared" ref="A50:A55" si="9">A5</f>
        <v>43040</v>
      </c>
      <c r="B50" s="144">
        <v>418</v>
      </c>
      <c r="C50" s="144">
        <v>233</v>
      </c>
      <c r="D50" s="144">
        <v>396</v>
      </c>
      <c r="E50" s="144">
        <v>253</v>
      </c>
      <c r="F50" s="145">
        <f t="shared" si="7"/>
        <v>-41.161616161616159</v>
      </c>
      <c r="H50" s="88">
        <f t="shared" ref="H50:H55" si="10">A5</f>
        <v>43040</v>
      </c>
      <c r="I50" s="144">
        <v>358</v>
      </c>
      <c r="J50" s="144">
        <v>323.8</v>
      </c>
      <c r="K50" s="144">
        <v>341.7</v>
      </c>
      <c r="L50" s="144">
        <v>247</v>
      </c>
      <c r="M50" s="145">
        <f t="shared" si="8"/>
        <v>-5.238513315774064</v>
      </c>
    </row>
    <row r="51" spans="1:13" x14ac:dyDescent="0.25">
      <c r="A51" s="88">
        <f t="shared" si="9"/>
        <v>43070</v>
      </c>
      <c r="B51" s="144">
        <v>350</v>
      </c>
      <c r="C51" s="144">
        <v>536</v>
      </c>
      <c r="D51" s="144">
        <v>281.3</v>
      </c>
      <c r="E51" s="144">
        <v>266</v>
      </c>
      <c r="F51" s="145">
        <f t="shared" si="7"/>
        <v>90.543903306078903</v>
      </c>
      <c r="H51" s="88">
        <f t="shared" si="10"/>
        <v>43070</v>
      </c>
      <c r="I51" s="144">
        <v>341</v>
      </c>
      <c r="J51" s="144">
        <v>316.8</v>
      </c>
      <c r="K51" s="144">
        <v>231.6</v>
      </c>
      <c r="L51" s="144">
        <v>185</v>
      </c>
      <c r="M51" s="145">
        <f t="shared" si="8"/>
        <v>36.787564766839388</v>
      </c>
    </row>
    <row r="52" spans="1:13" x14ac:dyDescent="0.25">
      <c r="A52" s="88">
        <f t="shared" si="9"/>
        <v>43101</v>
      </c>
      <c r="B52" s="143">
        <v>206.5</v>
      </c>
      <c r="C52" s="144">
        <v>243.2</v>
      </c>
      <c r="D52" s="144">
        <v>162.1</v>
      </c>
      <c r="E52" s="144">
        <v>115.5</v>
      </c>
      <c r="F52" s="145">
        <f t="shared" si="7"/>
        <v>50.030845157310303</v>
      </c>
      <c r="H52" s="88">
        <f t="shared" si="10"/>
        <v>43101</v>
      </c>
      <c r="I52" s="143">
        <v>166.7</v>
      </c>
      <c r="J52" s="149">
        <v>237.8</v>
      </c>
      <c r="K52" s="144">
        <v>113.2</v>
      </c>
      <c r="L52" s="144">
        <v>84.3</v>
      </c>
      <c r="M52" s="145">
        <f t="shared" si="8"/>
        <v>110.07067137809187</v>
      </c>
    </row>
    <row r="53" spans="1:13" x14ac:dyDescent="0.25">
      <c r="A53" s="88">
        <f t="shared" si="9"/>
        <v>43132</v>
      </c>
      <c r="B53" s="143">
        <v>116</v>
      </c>
      <c r="C53" s="144">
        <v>128</v>
      </c>
      <c r="D53" s="144">
        <v>109.4</v>
      </c>
      <c r="E53" s="144">
        <v>64</v>
      </c>
      <c r="F53" s="145">
        <f t="shared" si="7"/>
        <v>17.001828153564894</v>
      </c>
      <c r="H53" s="88">
        <f t="shared" si="10"/>
        <v>43132</v>
      </c>
      <c r="I53" s="143">
        <v>76</v>
      </c>
      <c r="J53" s="148">
        <v>150</v>
      </c>
      <c r="K53" s="144">
        <v>81.2</v>
      </c>
      <c r="L53" s="144">
        <v>38</v>
      </c>
      <c r="M53" s="145">
        <f t="shared" si="8"/>
        <v>84.729064039408868</v>
      </c>
    </row>
    <row r="54" spans="1:13" x14ac:dyDescent="0.25">
      <c r="A54" s="88">
        <f t="shared" si="9"/>
        <v>43160</v>
      </c>
      <c r="B54" s="143">
        <v>110</v>
      </c>
      <c r="C54" s="144"/>
      <c r="D54" s="144">
        <v>89.8</v>
      </c>
      <c r="E54" s="144">
        <v>64</v>
      </c>
      <c r="F54" s="145">
        <f t="shared" ref="F54:F59" si="11">(C54-D54)/D54*100</f>
        <v>-100</v>
      </c>
      <c r="H54" s="88">
        <f t="shared" si="10"/>
        <v>43160</v>
      </c>
      <c r="I54" s="143">
        <v>72</v>
      </c>
      <c r="J54" s="148"/>
      <c r="K54" s="144">
        <v>51.9</v>
      </c>
      <c r="L54" s="144">
        <v>34</v>
      </c>
      <c r="M54" s="145">
        <f t="shared" si="8"/>
        <v>-100</v>
      </c>
    </row>
    <row r="55" spans="1:13" x14ac:dyDescent="0.25">
      <c r="A55" s="88">
        <f t="shared" si="9"/>
        <v>43191</v>
      </c>
      <c r="B55" s="146">
        <v>92</v>
      </c>
      <c r="C55" s="144"/>
      <c r="D55" s="144">
        <v>105.1</v>
      </c>
      <c r="E55" s="144">
        <v>32</v>
      </c>
      <c r="F55" s="145">
        <f t="shared" si="11"/>
        <v>-100</v>
      </c>
      <c r="H55" s="88">
        <f t="shared" si="10"/>
        <v>43191</v>
      </c>
      <c r="I55" s="146">
        <v>74</v>
      </c>
      <c r="J55" s="148"/>
      <c r="K55" s="144">
        <v>67.599999999999994</v>
      </c>
      <c r="L55" s="144">
        <v>31</v>
      </c>
      <c r="M55" s="145">
        <f t="shared" si="8"/>
        <v>-100</v>
      </c>
    </row>
    <row r="56" spans="1:13" x14ac:dyDescent="0.25">
      <c r="A56" s="88">
        <f>A11</f>
        <v>43221</v>
      </c>
      <c r="B56" s="146">
        <v>94</v>
      </c>
      <c r="C56" s="147"/>
      <c r="D56" s="144">
        <v>196.9</v>
      </c>
      <c r="E56" s="144">
        <v>32</v>
      </c>
      <c r="F56" s="145">
        <f t="shared" si="11"/>
        <v>-100</v>
      </c>
      <c r="H56" s="88">
        <f>A11</f>
        <v>43221</v>
      </c>
      <c r="I56" s="146">
        <v>56</v>
      </c>
      <c r="J56" s="149"/>
      <c r="K56" s="144">
        <v>131.19999999999999</v>
      </c>
      <c r="L56" s="144">
        <v>24</v>
      </c>
      <c r="M56" s="145">
        <f>(J56-K56)/K56*100</f>
        <v>-100</v>
      </c>
    </row>
    <row r="57" spans="1:13" x14ac:dyDescent="0.25">
      <c r="A57" s="88">
        <f>A12</f>
        <v>43252</v>
      </c>
      <c r="B57" s="146">
        <v>335</v>
      </c>
      <c r="C57" s="144"/>
      <c r="D57" s="144">
        <v>355.1</v>
      </c>
      <c r="E57" s="144">
        <v>237</v>
      </c>
      <c r="F57" s="145">
        <f t="shared" si="11"/>
        <v>-100</v>
      </c>
      <c r="H57" s="88">
        <f>A12</f>
        <v>43252</v>
      </c>
      <c r="I57" s="146">
        <v>208</v>
      </c>
      <c r="J57" s="148"/>
      <c r="K57" s="144">
        <v>244</v>
      </c>
      <c r="L57" s="144">
        <v>142</v>
      </c>
      <c r="M57" s="145">
        <f>(J57-K57)/K57*100</f>
        <v>-100</v>
      </c>
    </row>
    <row r="58" spans="1:13" x14ac:dyDescent="0.25">
      <c r="A58" s="88">
        <f>A13</f>
        <v>43282</v>
      </c>
      <c r="B58" s="163">
        <v>344</v>
      </c>
      <c r="C58" s="163"/>
      <c r="D58" s="163">
        <v>347.6</v>
      </c>
      <c r="E58" s="163">
        <v>202</v>
      </c>
      <c r="F58" s="145">
        <f t="shared" si="11"/>
        <v>-100</v>
      </c>
      <c r="H58" s="88">
        <f>A13</f>
        <v>43282</v>
      </c>
      <c r="I58" s="163">
        <v>178</v>
      </c>
      <c r="J58" s="163"/>
      <c r="K58" s="163">
        <v>233.9</v>
      </c>
      <c r="L58" s="163">
        <v>75</v>
      </c>
      <c r="M58" s="145">
        <f>(J58-K58)/K58*100</f>
        <v>-100</v>
      </c>
    </row>
    <row r="59" spans="1:13" x14ac:dyDescent="0.25">
      <c r="A59" s="88">
        <f>A14</f>
        <v>43313</v>
      </c>
      <c r="B59" s="143">
        <v>356</v>
      </c>
      <c r="C59" s="144"/>
      <c r="D59" s="144">
        <v>349.2</v>
      </c>
      <c r="E59" s="144">
        <v>222</v>
      </c>
      <c r="F59" s="145">
        <f t="shared" si="11"/>
        <v>-100</v>
      </c>
      <c r="H59" s="88">
        <f>A14</f>
        <v>43313</v>
      </c>
      <c r="I59" s="143">
        <v>256</v>
      </c>
      <c r="J59" s="144"/>
      <c r="K59" s="144">
        <v>234.1</v>
      </c>
      <c r="L59" s="144">
        <v>202</v>
      </c>
      <c r="M59" s="145">
        <f>(J59-K59)/K59*100</f>
        <v>-100</v>
      </c>
    </row>
    <row r="72" spans="1:1" x14ac:dyDescent="0.25">
      <c r="A72" s="90"/>
    </row>
  </sheetData>
  <mergeCells count="4">
    <mergeCell ref="A1:E1"/>
    <mergeCell ref="H1:L1"/>
    <mergeCell ref="A46:E46"/>
    <mergeCell ref="H46:L4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ainfallGraphs">
                <anchor moveWithCells="1" sizeWithCells="1">
                  <from>
                    <xdr:col>5</xdr:col>
                    <xdr:colOff>9525</xdr:colOff>
                    <xdr:row>0</xdr:row>
                    <xdr:rowOff>247650</xdr:rowOff>
                  </from>
                  <to>
                    <xdr:col>5</xdr:col>
                    <xdr:colOff>876300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RainfallGraphsUndo">
                <anchor moveWithCells="1" sizeWithCells="1">
                  <from>
                    <xdr:col>6</xdr:col>
                    <xdr:colOff>28575</xdr:colOff>
                    <xdr:row>1</xdr:row>
                    <xdr:rowOff>0</xdr:rowOff>
                  </from>
                  <to>
                    <xdr:col>6</xdr:col>
                    <xdr:colOff>866775</xdr:colOff>
                    <xdr:row>1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4"/>
  <sheetViews>
    <sheetView zoomScale="85" zoomScaleNormal="85" zoomScaleSheetLayoutView="80" workbookViewId="0">
      <selection sqref="A1:H1"/>
    </sheetView>
  </sheetViews>
  <sheetFormatPr defaultColWidth="14.28515625" defaultRowHeight="12.75" x14ac:dyDescent="0.25"/>
  <cols>
    <col min="1" max="9" width="14.28515625" style="6"/>
    <col min="10" max="16" width="14.28515625" style="73"/>
    <col min="17" max="17" width="14.28515625" style="6"/>
    <col min="18" max="18" width="14.28515625" style="73"/>
    <col min="19" max="16384" width="14.28515625" style="6"/>
  </cols>
  <sheetData>
    <row r="1" spans="1:29" ht="30" customHeight="1" x14ac:dyDescent="0.25">
      <c r="A1" s="219" t="s">
        <v>119</v>
      </c>
      <c r="B1" s="219"/>
      <c r="C1" s="219"/>
      <c r="D1" s="219"/>
      <c r="E1" s="219"/>
      <c r="F1" s="219"/>
      <c r="G1" s="219"/>
      <c r="H1" s="219"/>
      <c r="S1" s="217" t="s">
        <v>64</v>
      </c>
      <c r="T1" s="218"/>
      <c r="U1" s="218"/>
      <c r="V1" s="218"/>
      <c r="W1" s="218"/>
      <c r="X1" s="218"/>
      <c r="Y1" s="218"/>
      <c r="Z1" s="218"/>
      <c r="AA1" s="218"/>
      <c r="AB1" s="218"/>
      <c r="AC1" s="218"/>
    </row>
    <row r="2" spans="1:29" s="8" customFormat="1" ht="76.5" x14ac:dyDescent="0.25">
      <c r="A2" s="55">
        <v>2018</v>
      </c>
      <c r="B2" s="1" t="s">
        <v>43</v>
      </c>
      <c r="C2" s="1" t="s">
        <v>120</v>
      </c>
      <c r="D2" s="1" t="s">
        <v>118</v>
      </c>
      <c r="E2" s="1" t="s">
        <v>67</v>
      </c>
      <c r="F2" s="1" t="s">
        <v>39</v>
      </c>
      <c r="G2" s="1" t="s">
        <v>16</v>
      </c>
      <c r="H2" s="1" t="s">
        <v>15</v>
      </c>
      <c r="I2" s="1" t="s">
        <v>17</v>
      </c>
      <c r="Q2" s="65" t="s">
        <v>113</v>
      </c>
      <c r="R2" s="101" t="s">
        <v>112</v>
      </c>
      <c r="S2" s="28" t="s">
        <v>0</v>
      </c>
      <c r="T2" s="28" t="s">
        <v>90</v>
      </c>
      <c r="U2" s="28" t="s">
        <v>31</v>
      </c>
      <c r="V2" s="28" t="s">
        <v>32</v>
      </c>
      <c r="W2" s="71" t="s">
        <v>83</v>
      </c>
      <c r="X2" s="28" t="s">
        <v>26</v>
      </c>
      <c r="Y2" s="28" t="s">
        <v>103</v>
      </c>
      <c r="Z2" s="28" t="s">
        <v>25</v>
      </c>
      <c r="AA2" s="28" t="s">
        <v>76</v>
      </c>
      <c r="AB2" s="28" t="s">
        <v>75</v>
      </c>
      <c r="AC2" s="28" t="s">
        <v>22</v>
      </c>
    </row>
    <row r="3" spans="1:29" x14ac:dyDescent="0.25">
      <c r="A3" s="80" t="s">
        <v>107</v>
      </c>
      <c r="B3" s="106" t="s">
        <v>115</v>
      </c>
      <c r="C3" s="106" t="s">
        <v>115</v>
      </c>
      <c r="D3" s="106" t="s">
        <v>115</v>
      </c>
      <c r="E3" s="82">
        <v>119</v>
      </c>
      <c r="F3" s="82">
        <v>100</v>
      </c>
      <c r="G3" s="106" t="s">
        <v>115</v>
      </c>
      <c r="H3" s="106" t="s">
        <v>115</v>
      </c>
      <c r="I3" s="106" t="s">
        <v>115</v>
      </c>
      <c r="Q3" s="64" t="e">
        <f>(B3-180)/3.2486</f>
        <v>#VALUE!</v>
      </c>
      <c r="R3" s="64" t="e">
        <f>(B3-150)/3.2486</f>
        <v>#VALUE!</v>
      </c>
      <c r="S3" s="29" t="s">
        <v>4</v>
      </c>
      <c r="T3" s="80">
        <v>31</v>
      </c>
      <c r="U3" s="13">
        <f>IF(V14&gt;$B$74,$B$74,V14)</f>
        <v>43172500</v>
      </c>
      <c r="V3" s="32">
        <f t="shared" ref="V3:V14" si="0">IF(_xlfn.ISFORMULA(F3)=TRUE,U3+AC3,F3/100*$N$31)</f>
        <v>43172500</v>
      </c>
      <c r="W3" s="31">
        <f>IF(_xlfn.ISFORMULA(E14)=TRUE,V19+((U3-W19)/(X19-W19)),E14)</f>
        <v>119</v>
      </c>
      <c r="X3" s="32" t="e">
        <f t="shared" ref="X3:X14" si="1">B3/1000*$N$29*$N$30</f>
        <v>#VALUE!</v>
      </c>
      <c r="Y3" s="48">
        <v>4.5290322580645156E-3</v>
      </c>
      <c r="Z3" s="32">
        <f t="shared" ref="Z3:Z14" si="2">AC19*Y3*T3</f>
        <v>501341.47753589624</v>
      </c>
      <c r="AA3" s="32" t="e">
        <f t="shared" ref="AA3:AA14" si="3">C3*1000000/$N$33</f>
        <v>#VALUE!</v>
      </c>
      <c r="AB3" s="32" t="e">
        <f t="shared" ref="AB3:AB14" si="4">AA3*T3</f>
        <v>#VALUE!</v>
      </c>
      <c r="AC3" s="32" t="e">
        <f t="shared" ref="AC3:AC14" si="5">X3 -Z3+AB3</f>
        <v>#VALUE!</v>
      </c>
    </row>
    <row r="4" spans="1:29" x14ac:dyDescent="0.25">
      <c r="A4" s="80" t="s">
        <v>110</v>
      </c>
      <c r="B4" s="106" t="s">
        <v>115</v>
      </c>
      <c r="C4" s="106" t="s">
        <v>115</v>
      </c>
      <c r="D4" s="106" t="s">
        <v>115</v>
      </c>
      <c r="E4" s="82">
        <v>118.9</v>
      </c>
      <c r="F4" s="82">
        <v>99.6</v>
      </c>
      <c r="G4" s="106" t="s">
        <v>115</v>
      </c>
      <c r="H4" s="106" t="s">
        <v>115</v>
      </c>
      <c r="I4" s="106" t="s">
        <v>115</v>
      </c>
      <c r="Q4" s="64" t="e">
        <f t="shared" ref="Q4:Q14" si="6">(B4-180)/3.2486</f>
        <v>#VALUE!</v>
      </c>
      <c r="R4" s="64" t="e">
        <f t="shared" ref="R4:R14" si="7">(B4-150)/3.2486</f>
        <v>#VALUE!</v>
      </c>
      <c r="S4" s="29" t="s">
        <v>5</v>
      </c>
      <c r="T4" s="80">
        <v>28</v>
      </c>
      <c r="U4" s="13">
        <f t="shared" ref="U4:U14" si="8">IF(V3&gt;$B$74,$B$74,V3)</f>
        <v>43172500</v>
      </c>
      <c r="V4" s="32">
        <f t="shared" si="0"/>
        <v>42999810</v>
      </c>
      <c r="W4" s="31">
        <f t="shared" ref="W4:W14" si="9">IF(_xlfn.ISFORMULA(E3)=TRUE,V20+((U4-W20)/(X20-W20)),E3)</f>
        <v>119</v>
      </c>
      <c r="X4" s="32" t="e">
        <f t="shared" si="1"/>
        <v>#VALUE!</v>
      </c>
      <c r="Y4" s="48">
        <v>4.5999999999999999E-3</v>
      </c>
      <c r="Z4" s="32">
        <f t="shared" si="2"/>
        <v>459920.10189902736</v>
      </c>
      <c r="AA4" s="32" t="e">
        <f t="shared" si="3"/>
        <v>#VALUE!</v>
      </c>
      <c r="AB4" s="32" t="e">
        <f t="shared" si="4"/>
        <v>#VALUE!</v>
      </c>
      <c r="AC4" s="32" t="e">
        <f t="shared" si="5"/>
        <v>#VALUE!</v>
      </c>
    </row>
    <row r="5" spans="1:29" x14ac:dyDescent="0.25">
      <c r="A5" s="80" t="s">
        <v>77</v>
      </c>
      <c r="B5" s="156">
        <v>62</v>
      </c>
      <c r="C5" s="156">
        <v>-45</v>
      </c>
      <c r="D5" s="157" t="s">
        <v>143</v>
      </c>
      <c r="E5" s="82">
        <f>W6</f>
        <v>115.35906619052828</v>
      </c>
      <c r="F5" s="82">
        <f>(U6/$N$31)*100</f>
        <v>84.973923960910355</v>
      </c>
      <c r="G5" s="31">
        <f>E5-$N$32</f>
        <v>35.359066190528281</v>
      </c>
      <c r="H5" s="32">
        <f>U6*220/1000000</f>
        <v>8070.7808108452855</v>
      </c>
      <c r="I5" s="32">
        <f t="shared" ref="I5" si="10">H5/ABS(C5)</f>
        <v>179.3506846854508</v>
      </c>
      <c r="Q5" s="64">
        <f t="shared" si="6"/>
        <v>-36.32333928461491</v>
      </c>
      <c r="R5" s="64">
        <f t="shared" si="7"/>
        <v>-27.088592008865355</v>
      </c>
      <c r="S5" s="29" t="s">
        <v>6</v>
      </c>
      <c r="T5" s="80">
        <v>31</v>
      </c>
      <c r="U5" s="13">
        <f t="shared" si="8"/>
        <v>42999810</v>
      </c>
      <c r="V5" s="32">
        <f t="shared" si="0"/>
        <v>36685367.322024025</v>
      </c>
      <c r="W5" s="31">
        <f t="shared" si="9"/>
        <v>118.9</v>
      </c>
      <c r="X5" s="32">
        <f t="shared" si="1"/>
        <v>616900</v>
      </c>
      <c r="Y5" s="48">
        <v>5.3516129032258062E-3</v>
      </c>
      <c r="Z5" s="32">
        <f t="shared" si="2"/>
        <v>590433.58706688345</v>
      </c>
      <c r="AA5" s="32">
        <f t="shared" si="3"/>
        <v>-204545.45454545456</v>
      </c>
      <c r="AB5" s="32">
        <f t="shared" si="4"/>
        <v>-6340909.0909090918</v>
      </c>
      <c r="AC5" s="32">
        <f t="shared" si="5"/>
        <v>-6314442.677975975</v>
      </c>
    </row>
    <row r="6" spans="1:29" x14ac:dyDescent="0.25">
      <c r="A6" s="80" t="s">
        <v>111</v>
      </c>
      <c r="B6" s="156">
        <v>56</v>
      </c>
      <c r="C6" s="156">
        <v>-45</v>
      </c>
      <c r="D6" s="157" t="s">
        <v>143</v>
      </c>
      <c r="E6" s="82">
        <f t="shared" ref="E6:E7" si="11">W7</f>
        <v>111.88649711625891</v>
      </c>
      <c r="F6" s="82">
        <f t="shared" ref="F6:F7" si="12">(U7/$N$31)*100</f>
        <v>70.642686511544724</v>
      </c>
      <c r="G6" s="31">
        <f t="shared" ref="G6:G7" si="13">E6-$N$32</f>
        <v>31.886497116258909</v>
      </c>
      <c r="H6" s="32">
        <f t="shared" ref="H6:H7" si="14">U7*220/1000000</f>
        <v>6709.6070435232623</v>
      </c>
      <c r="I6" s="32">
        <f t="shared" ref="I6:I7" si="15">H6/ABS(C6)</f>
        <v>149.10237874496138</v>
      </c>
      <c r="Q6" s="64">
        <f t="shared" si="6"/>
        <v>-38.170288739764821</v>
      </c>
      <c r="R6" s="64">
        <f t="shared" si="7"/>
        <v>-28.935541464015266</v>
      </c>
      <c r="S6" s="29" t="s">
        <v>7</v>
      </c>
      <c r="T6" s="80">
        <v>30</v>
      </c>
      <c r="U6" s="13">
        <f t="shared" si="8"/>
        <v>36685367.322024025</v>
      </c>
      <c r="V6" s="32">
        <f t="shared" si="0"/>
        <v>30498213.834196646</v>
      </c>
      <c r="W6" s="31">
        <f t="shared" si="9"/>
        <v>115.35906619052828</v>
      </c>
      <c r="X6" s="32">
        <f t="shared" si="1"/>
        <v>557200</v>
      </c>
      <c r="Y6" s="48">
        <v>6.4753333333333329E-3</v>
      </c>
      <c r="Z6" s="32">
        <f t="shared" si="2"/>
        <v>607989.85146374279</v>
      </c>
      <c r="AA6" s="32">
        <f t="shared" si="3"/>
        <v>-204545.45454545456</v>
      </c>
      <c r="AB6" s="32">
        <f t="shared" si="4"/>
        <v>-6136363.6363636367</v>
      </c>
      <c r="AC6" s="32">
        <f t="shared" si="5"/>
        <v>-6187153.4878273793</v>
      </c>
    </row>
    <row r="7" spans="1:29" x14ac:dyDescent="0.25">
      <c r="A7" s="80" t="s">
        <v>78</v>
      </c>
      <c r="B7" s="156">
        <v>70</v>
      </c>
      <c r="C7" s="156">
        <v>-45</v>
      </c>
      <c r="D7" s="157" t="s">
        <v>143</v>
      </c>
      <c r="E7" s="82">
        <f t="shared" si="11"/>
        <v>107.92022016166645</v>
      </c>
      <c r="F7" s="82">
        <f t="shared" si="12"/>
        <v>56.32069193666598</v>
      </c>
      <c r="G7" s="31">
        <f t="shared" si="13"/>
        <v>27.92022016166645</v>
      </c>
      <c r="H7" s="32">
        <f t="shared" si="14"/>
        <v>5349.3111597985671</v>
      </c>
      <c r="I7" s="32">
        <f t="shared" si="15"/>
        <v>118.87358132885704</v>
      </c>
      <c r="Q7" s="64">
        <f t="shared" si="6"/>
        <v>-33.860740011081695</v>
      </c>
      <c r="R7" s="64">
        <f t="shared" si="7"/>
        <v>-24.62599273533214</v>
      </c>
      <c r="S7" s="29" t="s">
        <v>2</v>
      </c>
      <c r="T7" s="80">
        <v>31</v>
      </c>
      <c r="U7" s="13">
        <f t="shared" si="8"/>
        <v>30498213.834196646</v>
      </c>
      <c r="V7" s="32">
        <f t="shared" si="0"/>
        <v>24315050.726357121</v>
      </c>
      <c r="W7" s="31">
        <f t="shared" si="9"/>
        <v>111.88649711625891</v>
      </c>
      <c r="X7" s="32">
        <f t="shared" si="1"/>
        <v>696500.00000000012</v>
      </c>
      <c r="Y7" s="48">
        <v>6.4780645161290323E-3</v>
      </c>
      <c r="Z7" s="32">
        <f t="shared" si="2"/>
        <v>538754.01693043241</v>
      </c>
      <c r="AA7" s="32">
        <f t="shared" si="3"/>
        <v>-204545.45454545456</v>
      </c>
      <c r="AB7" s="32">
        <f t="shared" si="4"/>
        <v>-6340909.0909090918</v>
      </c>
      <c r="AC7" s="32">
        <f t="shared" si="5"/>
        <v>-6183163.1078395238</v>
      </c>
    </row>
    <row r="8" spans="1:29" x14ac:dyDescent="0.25">
      <c r="A8" s="80" t="s">
        <v>125</v>
      </c>
      <c r="B8" s="156">
        <v>279</v>
      </c>
      <c r="C8" s="156">
        <v>10</v>
      </c>
      <c r="D8" s="157" t="s">
        <v>143</v>
      </c>
      <c r="E8" s="82">
        <f t="shared" ref="E8" si="16">W9</f>
        <v>110.58595450143341</v>
      </c>
      <c r="F8" s="82">
        <f t="shared" ref="F8" si="17">(U9/$N$31)*100</f>
        <v>65.275367783693426</v>
      </c>
      <c r="G8" s="31">
        <f t="shared" ref="G8" si="18">E8-$N$32</f>
        <v>30.585954501433406</v>
      </c>
      <c r="H8" s="32">
        <f t="shared" ref="H8" si="19">U9*220/1000000</f>
        <v>6199.8217944113103</v>
      </c>
      <c r="I8" s="32">
        <f t="shared" ref="I8" si="20">H8/ABS(C8)</f>
        <v>619.98217944113105</v>
      </c>
      <c r="Q8" s="64">
        <f t="shared" si="6"/>
        <v>30.474666009973525</v>
      </c>
      <c r="R8" s="64">
        <f t="shared" si="7"/>
        <v>39.70941328572308</v>
      </c>
      <c r="S8" s="29" t="s">
        <v>8</v>
      </c>
      <c r="T8" s="80">
        <v>30</v>
      </c>
      <c r="U8" s="13">
        <f t="shared" si="8"/>
        <v>24315050.726357121</v>
      </c>
      <c r="V8" s="32">
        <f t="shared" si="0"/>
        <v>28181008.156415045</v>
      </c>
      <c r="W8" s="31">
        <f t="shared" si="9"/>
        <v>107.92022016166645</v>
      </c>
      <c r="X8" s="32">
        <f t="shared" si="1"/>
        <v>2776050.0000000005</v>
      </c>
      <c r="Y8" s="48">
        <v>4.1146666666666666E-3</v>
      </c>
      <c r="Z8" s="32">
        <f t="shared" si="2"/>
        <v>273728.93357843993</v>
      </c>
      <c r="AA8" s="32">
        <f t="shared" si="3"/>
        <v>45454.545454545456</v>
      </c>
      <c r="AB8" s="32">
        <f t="shared" si="4"/>
        <v>1363636.3636363638</v>
      </c>
      <c r="AC8" s="32">
        <f t="shared" si="5"/>
        <v>3865957.4300579242</v>
      </c>
    </row>
    <row r="9" spans="1:29" x14ac:dyDescent="0.25">
      <c r="A9" s="80" t="s">
        <v>100</v>
      </c>
      <c r="B9" s="156">
        <v>265</v>
      </c>
      <c r="C9" s="156">
        <v>10</v>
      </c>
      <c r="D9" s="157" t="s">
        <v>143</v>
      </c>
      <c r="E9" s="82">
        <f t="shared" ref="E9" si="21">W10</f>
        <v>112.67909414334115</v>
      </c>
      <c r="F9" s="82">
        <f t="shared" ref="F9" si="22">(U10/$N$31)*100</f>
        <v>73.913721861407879</v>
      </c>
      <c r="G9" s="31">
        <f t="shared" ref="G9" si="23">E9-$N$32</f>
        <v>32.679094143341146</v>
      </c>
      <c r="H9" s="32">
        <f t="shared" ref="H9" si="24">U10*220/1000000</f>
        <v>7020.2883455355895</v>
      </c>
      <c r="I9" s="32">
        <f t="shared" ref="I9" si="25">H9/ABS(C9)</f>
        <v>702.02883455355891</v>
      </c>
      <c r="Q9" s="64">
        <f t="shared" si="6"/>
        <v>26.165117281290399</v>
      </c>
      <c r="R9" s="64">
        <f t="shared" si="7"/>
        <v>35.399864557039955</v>
      </c>
      <c r="S9" s="29" t="s">
        <v>9</v>
      </c>
      <c r="T9" s="80">
        <v>31</v>
      </c>
      <c r="U9" s="13">
        <f t="shared" si="8"/>
        <v>28181008.156415045</v>
      </c>
      <c r="V9" s="32">
        <f t="shared" si="0"/>
        <v>31910401.570616316</v>
      </c>
      <c r="W9" s="31">
        <f t="shared" si="9"/>
        <v>110.58595450143341</v>
      </c>
      <c r="X9" s="32">
        <f t="shared" si="1"/>
        <v>2636750</v>
      </c>
      <c r="Y9" s="48">
        <v>4.0703225806451608E-3</v>
      </c>
      <c r="Z9" s="32">
        <f t="shared" si="2"/>
        <v>316447.4948896399</v>
      </c>
      <c r="AA9" s="32">
        <f t="shared" si="3"/>
        <v>45454.545454545456</v>
      </c>
      <c r="AB9" s="32">
        <f t="shared" si="4"/>
        <v>1409090.9090909092</v>
      </c>
      <c r="AC9" s="32">
        <f t="shared" si="5"/>
        <v>3729393.4142012694</v>
      </c>
    </row>
    <row r="10" spans="1:29" x14ac:dyDescent="0.25">
      <c r="A10" s="80" t="s">
        <v>79</v>
      </c>
      <c r="B10" s="156">
        <v>250</v>
      </c>
      <c r="C10" s="156">
        <v>10</v>
      </c>
      <c r="D10" s="157" t="s">
        <v>143</v>
      </c>
      <c r="E10" s="82">
        <f t="shared" ref="E10" si="26">W11</f>
        <v>114.69963433387652</v>
      </c>
      <c r="F10" s="82">
        <f t="shared" ref="F10" si="27">(U11/$N$31)*100</f>
        <v>82.252459155680853</v>
      </c>
      <c r="G10" s="31">
        <f t="shared" ref="G10" si="28">E10-$N$32</f>
        <v>34.699634333876517</v>
      </c>
      <c r="H10" s="32">
        <f t="shared" ref="H10" si="29">U11*220/1000000</f>
        <v>7812.2974443769899</v>
      </c>
      <c r="I10" s="106" t="s">
        <v>115</v>
      </c>
      <c r="Q10" s="64">
        <f t="shared" si="6"/>
        <v>21.547743643415625</v>
      </c>
      <c r="R10" s="64">
        <f t="shared" si="7"/>
        <v>30.782490919165177</v>
      </c>
      <c r="S10" s="29" t="s">
        <v>11</v>
      </c>
      <c r="T10" s="80">
        <v>31</v>
      </c>
      <c r="U10" s="13">
        <f t="shared" si="8"/>
        <v>31910401.570616316</v>
      </c>
      <c r="V10" s="32">
        <f t="shared" si="0"/>
        <v>35510442.928986318</v>
      </c>
      <c r="W10" s="31">
        <f t="shared" si="9"/>
        <v>112.67909414334115</v>
      </c>
      <c r="X10" s="32">
        <f t="shared" si="1"/>
        <v>2487500</v>
      </c>
      <c r="Y10" s="48">
        <v>3.4322580645161286E-3</v>
      </c>
      <c r="Z10" s="32">
        <f t="shared" si="2"/>
        <v>296549.55072090938</v>
      </c>
      <c r="AA10" s="32">
        <f t="shared" si="3"/>
        <v>45454.545454545456</v>
      </c>
      <c r="AB10" s="32">
        <f t="shared" si="4"/>
        <v>1409090.9090909092</v>
      </c>
      <c r="AC10" s="32">
        <f t="shared" si="5"/>
        <v>3600041.3583699996</v>
      </c>
    </row>
    <row r="11" spans="1:29" x14ac:dyDescent="0.25">
      <c r="A11" s="80" t="s">
        <v>99</v>
      </c>
      <c r="B11" s="106" t="s">
        <v>115</v>
      </c>
      <c r="C11" s="106" t="s">
        <v>115</v>
      </c>
      <c r="D11" s="106" t="s">
        <v>115</v>
      </c>
      <c r="E11" s="82">
        <v>119.05</v>
      </c>
      <c r="F11" s="82">
        <v>100</v>
      </c>
      <c r="G11" s="106" t="s">
        <v>115</v>
      </c>
      <c r="H11" s="106" t="s">
        <v>115</v>
      </c>
      <c r="I11" s="106" t="s">
        <v>115</v>
      </c>
      <c r="Q11" s="64" t="e">
        <f t="shared" si="6"/>
        <v>#VALUE!</v>
      </c>
      <c r="R11" s="64" t="e">
        <f t="shared" si="7"/>
        <v>#VALUE!</v>
      </c>
      <c r="S11" s="29" t="s">
        <v>12</v>
      </c>
      <c r="T11" s="80">
        <v>30</v>
      </c>
      <c r="U11" s="13">
        <f t="shared" si="8"/>
        <v>35510442.928986318</v>
      </c>
      <c r="V11" s="32">
        <f t="shared" si="0"/>
        <v>43172500</v>
      </c>
      <c r="W11" s="31">
        <f t="shared" si="9"/>
        <v>114.69963433387652</v>
      </c>
      <c r="X11" s="32" t="e">
        <f t="shared" si="1"/>
        <v>#VALUE!</v>
      </c>
      <c r="Y11" s="48">
        <v>4.5306666666666672E-3</v>
      </c>
      <c r="Z11" s="32">
        <f t="shared" si="2"/>
        <v>414143.27227067103</v>
      </c>
      <c r="AA11" s="32" t="e">
        <f t="shared" si="3"/>
        <v>#VALUE!</v>
      </c>
      <c r="AB11" s="32" t="e">
        <f t="shared" si="4"/>
        <v>#VALUE!</v>
      </c>
      <c r="AC11" s="32" t="e">
        <f t="shared" si="5"/>
        <v>#VALUE!</v>
      </c>
    </row>
    <row r="12" spans="1:29" x14ac:dyDescent="0.25">
      <c r="A12" s="80" t="s">
        <v>80</v>
      </c>
      <c r="B12" s="106" t="s">
        <v>115</v>
      </c>
      <c r="C12" s="106" t="s">
        <v>115</v>
      </c>
      <c r="D12" s="106" t="s">
        <v>115</v>
      </c>
      <c r="E12" s="82">
        <v>119.4</v>
      </c>
      <c r="F12" s="82">
        <v>100</v>
      </c>
      <c r="G12" s="106" t="s">
        <v>115</v>
      </c>
      <c r="H12" s="106" t="s">
        <v>115</v>
      </c>
      <c r="I12" s="106" t="s">
        <v>115</v>
      </c>
      <c r="Q12" s="64" t="e">
        <f t="shared" si="6"/>
        <v>#VALUE!</v>
      </c>
      <c r="R12" s="64" t="e">
        <f t="shared" si="7"/>
        <v>#VALUE!</v>
      </c>
      <c r="S12" s="29" t="s">
        <v>13</v>
      </c>
      <c r="T12" s="80">
        <v>31</v>
      </c>
      <c r="U12" s="13">
        <f t="shared" si="8"/>
        <v>43172500</v>
      </c>
      <c r="V12" s="32">
        <f t="shared" si="0"/>
        <v>43172500</v>
      </c>
      <c r="W12" s="31">
        <f t="shared" si="9"/>
        <v>119.05</v>
      </c>
      <c r="X12" s="32" t="e">
        <f t="shared" si="1"/>
        <v>#VALUE!</v>
      </c>
      <c r="Y12" s="48">
        <v>3.6019354838709677E-3</v>
      </c>
      <c r="Z12" s="32">
        <f t="shared" si="2"/>
        <v>398716.44858730899</v>
      </c>
      <c r="AA12" s="32" t="e">
        <f t="shared" si="3"/>
        <v>#VALUE!</v>
      </c>
      <c r="AB12" s="32" t="e">
        <f t="shared" si="4"/>
        <v>#VALUE!</v>
      </c>
      <c r="AC12" s="32" t="e">
        <f t="shared" si="5"/>
        <v>#VALUE!</v>
      </c>
    </row>
    <row r="13" spans="1:29" x14ac:dyDescent="0.25">
      <c r="A13" s="80" t="s">
        <v>81</v>
      </c>
      <c r="B13" s="106" t="s">
        <v>115</v>
      </c>
      <c r="C13" s="106" t="s">
        <v>115</v>
      </c>
      <c r="D13" s="106" t="s">
        <v>115</v>
      </c>
      <c r="E13" s="82">
        <v>119</v>
      </c>
      <c r="F13" s="82">
        <v>100</v>
      </c>
      <c r="G13" s="106" t="s">
        <v>115</v>
      </c>
      <c r="H13" s="106" t="s">
        <v>115</v>
      </c>
      <c r="I13" s="106" t="s">
        <v>115</v>
      </c>
      <c r="Q13" s="64" t="e">
        <f t="shared" si="6"/>
        <v>#VALUE!</v>
      </c>
      <c r="R13" s="64" t="e">
        <f t="shared" si="7"/>
        <v>#VALUE!</v>
      </c>
      <c r="S13" s="29" t="s">
        <v>14</v>
      </c>
      <c r="T13" s="80">
        <v>30</v>
      </c>
      <c r="U13" s="13">
        <f t="shared" si="8"/>
        <v>43172500</v>
      </c>
      <c r="V13" s="32">
        <f t="shared" si="0"/>
        <v>43172500</v>
      </c>
      <c r="W13" s="31">
        <f t="shared" si="9"/>
        <v>119.4</v>
      </c>
      <c r="X13" s="32" t="e">
        <f t="shared" si="1"/>
        <v>#VALUE!</v>
      </c>
      <c r="Y13" s="48">
        <v>3.9579999999999997E-3</v>
      </c>
      <c r="Z13" s="32">
        <f t="shared" si="2"/>
        <v>423997.77095877723</v>
      </c>
      <c r="AA13" s="32" t="e">
        <f t="shared" si="3"/>
        <v>#VALUE!</v>
      </c>
      <c r="AB13" s="32" t="e">
        <f t="shared" si="4"/>
        <v>#VALUE!</v>
      </c>
      <c r="AC13" s="32" t="e">
        <f t="shared" si="5"/>
        <v>#VALUE!</v>
      </c>
    </row>
    <row r="14" spans="1:29" x14ac:dyDescent="0.25">
      <c r="A14" s="80" t="s">
        <v>82</v>
      </c>
      <c r="B14" s="106" t="s">
        <v>115</v>
      </c>
      <c r="C14" s="106" t="s">
        <v>115</v>
      </c>
      <c r="D14" s="106" t="s">
        <v>115</v>
      </c>
      <c r="E14" s="82">
        <v>119</v>
      </c>
      <c r="F14" s="82">
        <v>100</v>
      </c>
      <c r="G14" s="106" t="s">
        <v>115</v>
      </c>
      <c r="H14" s="106" t="s">
        <v>115</v>
      </c>
      <c r="I14" s="106" t="s">
        <v>115</v>
      </c>
      <c r="Q14" s="64" t="e">
        <f t="shared" si="6"/>
        <v>#VALUE!</v>
      </c>
      <c r="R14" s="64" t="e">
        <f t="shared" si="7"/>
        <v>#VALUE!</v>
      </c>
      <c r="S14" s="29" t="s">
        <v>3</v>
      </c>
      <c r="T14" s="80">
        <v>31</v>
      </c>
      <c r="U14" s="13">
        <f t="shared" si="8"/>
        <v>43172500</v>
      </c>
      <c r="V14" s="32">
        <f t="shared" si="0"/>
        <v>43172500</v>
      </c>
      <c r="W14" s="31">
        <f t="shared" si="9"/>
        <v>119</v>
      </c>
      <c r="X14" s="32" t="e">
        <f t="shared" si="1"/>
        <v>#VALUE!</v>
      </c>
      <c r="Y14" s="48">
        <v>3.4329032258064518E-3</v>
      </c>
      <c r="Z14" s="32">
        <f t="shared" si="2"/>
        <v>380005.4133858268</v>
      </c>
      <c r="AA14" s="32" t="e">
        <f t="shared" si="3"/>
        <v>#VALUE!</v>
      </c>
      <c r="AB14" s="32" t="e">
        <f t="shared" si="4"/>
        <v>#VALUE!</v>
      </c>
      <c r="AC14" s="32" t="e">
        <f t="shared" si="5"/>
        <v>#VALUE!</v>
      </c>
    </row>
    <row r="15" spans="1:29" x14ac:dyDescent="0.25">
      <c r="Q15" s="69"/>
      <c r="R15" s="69"/>
      <c r="U15" s="9"/>
      <c r="V15" s="12"/>
      <c r="AA15" s="12"/>
    </row>
    <row r="16" spans="1:29" ht="15.75" x14ac:dyDescent="0.25">
      <c r="A16" s="107"/>
      <c r="B16" s="107"/>
      <c r="C16" s="107"/>
      <c r="D16" s="107"/>
      <c r="E16" s="107"/>
      <c r="F16" s="107"/>
      <c r="G16" s="107"/>
      <c r="H16" s="107"/>
      <c r="I16" s="107"/>
      <c r="J16" s="112"/>
    </row>
    <row r="17" spans="1:29" ht="16.5" thickBot="1" x14ac:dyDescent="0.3">
      <c r="A17" s="229" t="s">
        <v>87</v>
      </c>
      <c r="B17" s="230"/>
      <c r="C17" s="230"/>
      <c r="D17" s="230"/>
      <c r="E17" s="230"/>
      <c r="F17" s="230"/>
      <c r="G17" s="230"/>
      <c r="H17" s="230"/>
      <c r="I17" s="128"/>
      <c r="K17" s="14"/>
      <c r="L17" s="14"/>
      <c r="M17" s="14"/>
      <c r="N17" s="14"/>
      <c r="O17" s="14"/>
      <c r="P17" s="14"/>
      <c r="Q17" s="14"/>
      <c r="R17" s="14"/>
    </row>
    <row r="18" spans="1:29" ht="38.25" x14ac:dyDescent="0.25">
      <c r="A18" s="110" t="s">
        <v>20</v>
      </c>
      <c r="B18" s="111">
        <v>2001</v>
      </c>
      <c r="C18" s="127">
        <v>2017</v>
      </c>
      <c r="D18" s="127">
        <v>2015</v>
      </c>
      <c r="E18" s="110" t="s">
        <v>56</v>
      </c>
      <c r="F18" s="110" t="s">
        <v>57</v>
      </c>
      <c r="G18" s="110" t="s">
        <v>104</v>
      </c>
      <c r="H18" s="113" t="s">
        <v>127</v>
      </c>
      <c r="I18" s="113" t="s">
        <v>142</v>
      </c>
      <c r="K18" s="220" t="s">
        <v>102</v>
      </c>
      <c r="L18" s="221"/>
      <c r="M18" s="221"/>
      <c r="N18" s="221"/>
      <c r="O18" s="222"/>
      <c r="Q18" s="70"/>
      <c r="R18" s="100"/>
      <c r="S18" s="28" t="s">
        <v>0</v>
      </c>
      <c r="T18" s="30" t="s">
        <v>40</v>
      </c>
      <c r="U18" s="30" t="s">
        <v>41</v>
      </c>
      <c r="V18" s="28" t="s">
        <v>42</v>
      </c>
      <c r="W18" s="30" t="s">
        <v>38</v>
      </c>
      <c r="X18" s="30" t="s">
        <v>37</v>
      </c>
      <c r="Y18" s="30" t="s">
        <v>36</v>
      </c>
      <c r="Z18" s="28" t="s">
        <v>33</v>
      </c>
      <c r="AA18" s="30" t="s">
        <v>35</v>
      </c>
      <c r="AB18" s="30" t="s">
        <v>34</v>
      </c>
      <c r="AC18" s="28" t="s">
        <v>10</v>
      </c>
    </row>
    <row r="19" spans="1:29" x14ac:dyDescent="0.25">
      <c r="A19" s="29" t="s">
        <v>47</v>
      </c>
      <c r="B19" s="3">
        <v>116.75</v>
      </c>
      <c r="C19" s="81">
        <v>118.5</v>
      </c>
      <c r="D19" s="159">
        <v>119</v>
      </c>
      <c r="E19" s="3">
        <v>79</v>
      </c>
      <c r="F19" s="3">
        <v>119</v>
      </c>
      <c r="G19" s="3">
        <v>117.32</v>
      </c>
      <c r="H19" s="114"/>
      <c r="I19" s="114">
        <v>119</v>
      </c>
      <c r="K19" s="216" t="s">
        <v>105</v>
      </c>
      <c r="L19" s="74" t="str">
        <f>B2</f>
        <v>Forecasted Rainfall (mm)</v>
      </c>
      <c r="M19" s="29"/>
      <c r="N19" s="29"/>
      <c r="O19" s="75"/>
      <c r="Q19" s="14"/>
      <c r="R19" s="14"/>
      <c r="S19" s="29" t="s">
        <v>4</v>
      </c>
      <c r="T19" s="115">
        <f t="array" ref="T19">INDEX($B$35:$B$74,MATCH(MIN(ABS($B$35:$B$74-U3)),ABS($B$35:$B$74-U3),0))</f>
        <v>43172500</v>
      </c>
      <c r="U19" s="13">
        <f t="shared" ref="U19:U30" si="30">IF(U3&gt;T19, VLOOKUP(T19,$B$35:$C$74,2)+1, VLOOKUP(T19,$B$35:$C$74,2))</f>
        <v>119</v>
      </c>
      <c r="V19" s="32">
        <f>IF(U19&gt;79,U19-1,79)</f>
        <v>118</v>
      </c>
      <c r="W19" s="13">
        <f t="shared" ref="W19:W30" si="31">VLOOKUP(V19,$A$35:$B$74,2)</f>
        <v>41390777.777777776</v>
      </c>
      <c r="X19" s="13">
        <f t="shared" ref="X19:X30" si="32">VLOOKUP(U19,$A$35:$B$74,2)</f>
        <v>43172500</v>
      </c>
      <c r="Y19" s="33">
        <f t="shared" ref="Y19:Y30" si="33">ROUNDUP(W3,0)</f>
        <v>119</v>
      </c>
      <c r="Z19" s="32">
        <f t="shared" ref="Z19:Z30" si="34">VLOOKUP(Y19,$C$35:$E$74,3)</f>
        <v>3570808.2445576657</v>
      </c>
      <c r="AA19" s="33">
        <f t="shared" ref="AA19:AA30" si="35">ROUNDDOWN(W3,0)</f>
        <v>119</v>
      </c>
      <c r="AB19" s="32">
        <f t="shared" ref="AB19:AB30" si="36">VLOOKUP(AA19,$C$35:$E$74,3)</f>
        <v>3570808.2445576657</v>
      </c>
      <c r="AC19" s="32">
        <f t="shared" ref="AC19:AC30" si="37">((Z19-AB19)*(W3-AA19)+AB19)</f>
        <v>3570808.2445576657</v>
      </c>
    </row>
    <row r="20" spans="1:29" x14ac:dyDescent="0.25">
      <c r="A20" s="29" t="s">
        <v>85</v>
      </c>
      <c r="B20" s="3">
        <v>113</v>
      </c>
      <c r="C20" s="81">
        <v>116.85</v>
      </c>
      <c r="D20" s="167">
        <v>118.2</v>
      </c>
      <c r="E20" s="3">
        <v>79</v>
      </c>
      <c r="F20" s="3">
        <v>119</v>
      </c>
      <c r="G20" s="3">
        <v>116.13</v>
      </c>
      <c r="H20" s="114">
        <f t="shared" ref="H20:H25" si="38">E4</f>
        <v>118.9</v>
      </c>
      <c r="I20" s="114">
        <v>118.9</v>
      </c>
      <c r="K20" s="216"/>
      <c r="L20" s="74" t="str">
        <f>C2</f>
        <v>Recommended Pumped (+) and Released Rate (-) (MGD)</v>
      </c>
      <c r="M20" s="29"/>
      <c r="N20" s="29"/>
      <c r="O20" s="75"/>
      <c r="Q20" s="14"/>
      <c r="R20" s="14"/>
      <c r="S20" s="29" t="s">
        <v>5</v>
      </c>
      <c r="T20" s="115">
        <f t="array" ref="T20">INDEX($B$35:$B$74,MATCH(MIN(ABS($B$35:$B$74-U4)),ABS($B$35:$B$74-U4),0))</f>
        <v>43172500</v>
      </c>
      <c r="U20" s="13">
        <f t="shared" si="30"/>
        <v>119</v>
      </c>
      <c r="V20" s="32">
        <f t="shared" ref="V20:V30" si="39">IF(U20&gt;79,U20-1,79)</f>
        <v>118</v>
      </c>
      <c r="W20" s="13">
        <f t="shared" si="31"/>
        <v>41390777.777777776</v>
      </c>
      <c r="X20" s="13">
        <f t="shared" si="32"/>
        <v>43172500</v>
      </c>
      <c r="Y20" s="33">
        <f t="shared" si="33"/>
        <v>119</v>
      </c>
      <c r="Z20" s="32">
        <f t="shared" si="34"/>
        <v>3570808.2445576657</v>
      </c>
      <c r="AA20" s="33">
        <f t="shared" si="35"/>
        <v>119</v>
      </c>
      <c r="AB20" s="32">
        <f t="shared" si="36"/>
        <v>3570808.2445576657</v>
      </c>
      <c r="AC20" s="32">
        <f t="shared" si="37"/>
        <v>3570808.2445576657</v>
      </c>
    </row>
    <row r="21" spans="1:29" x14ac:dyDescent="0.25">
      <c r="A21" s="29" t="s">
        <v>86</v>
      </c>
      <c r="B21" s="3">
        <v>107.85</v>
      </c>
      <c r="C21" s="81">
        <v>115.2</v>
      </c>
      <c r="D21" s="167">
        <v>115.34</v>
      </c>
      <c r="E21" s="3">
        <v>79</v>
      </c>
      <c r="F21" s="3">
        <v>119</v>
      </c>
      <c r="G21" s="3">
        <v>113.12035714285712</v>
      </c>
      <c r="H21" s="114">
        <f t="shared" si="38"/>
        <v>115.35906619052828</v>
      </c>
      <c r="I21" s="114"/>
      <c r="K21" s="216"/>
      <c r="L21" s="74" t="str">
        <f>D2</f>
        <v>WRA Recommended Production (MGD)</v>
      </c>
      <c r="M21" s="29"/>
      <c r="N21" s="29"/>
      <c r="O21" s="75"/>
      <c r="Q21" s="14"/>
      <c r="R21" s="14"/>
      <c r="S21" s="29" t="s">
        <v>6</v>
      </c>
      <c r="T21" s="115">
        <f t="array" ref="T21">INDEX($B$35:$B$74,MATCH(MIN(ABS($B$35:$B$74-U5)),ABS($B$35:$B$74-U5),0))</f>
        <v>43172500</v>
      </c>
      <c r="U21" s="13">
        <f t="shared" si="30"/>
        <v>119</v>
      </c>
      <c r="V21" s="32">
        <f t="shared" si="39"/>
        <v>118</v>
      </c>
      <c r="W21" s="13">
        <f t="shared" si="31"/>
        <v>41390777.777777776</v>
      </c>
      <c r="X21" s="13">
        <f t="shared" si="32"/>
        <v>43172500</v>
      </c>
      <c r="Y21" s="33">
        <f t="shared" si="33"/>
        <v>119</v>
      </c>
      <c r="Z21" s="32">
        <f t="shared" si="34"/>
        <v>3570808.2445576657</v>
      </c>
      <c r="AA21" s="33">
        <f t="shared" si="35"/>
        <v>118</v>
      </c>
      <c r="AB21" s="32">
        <f t="shared" si="36"/>
        <v>3452453.7716683717</v>
      </c>
      <c r="AC21" s="32">
        <f t="shared" si="37"/>
        <v>3558972.7972687371</v>
      </c>
    </row>
    <row r="22" spans="1:29" x14ac:dyDescent="0.25">
      <c r="A22" s="29" t="s">
        <v>48</v>
      </c>
      <c r="B22" s="3">
        <v>100.7</v>
      </c>
      <c r="C22" s="81">
        <v>111.5</v>
      </c>
      <c r="D22" s="167">
        <v>111</v>
      </c>
      <c r="E22" s="3">
        <v>79</v>
      </c>
      <c r="F22" s="3">
        <v>119</v>
      </c>
      <c r="G22" s="3">
        <v>109.27</v>
      </c>
      <c r="H22" s="114">
        <f t="shared" si="38"/>
        <v>111.88649711625891</v>
      </c>
      <c r="I22" s="114"/>
      <c r="K22" s="216"/>
      <c r="L22" s="74" t="str">
        <f>E2</f>
        <v>Water Level (ft.) 
Max level – 119.0 
Min. Level – 79.0</v>
      </c>
      <c r="M22" s="29"/>
      <c r="N22" s="29"/>
      <c r="O22" s="75"/>
      <c r="Q22" s="14"/>
      <c r="R22" s="14"/>
      <c r="S22" s="29" t="s">
        <v>7</v>
      </c>
      <c r="T22" s="115">
        <f t="array" ref="T22">INDEX($B$35:$B$74,MATCH(MIN(ABS($B$35:$B$74-U6)),ABS($B$35:$B$74-U6),0))</f>
        <v>36045611.111111112</v>
      </c>
      <c r="U22" s="13">
        <f t="shared" si="30"/>
        <v>116</v>
      </c>
      <c r="V22" s="32">
        <f t="shared" si="39"/>
        <v>115</v>
      </c>
      <c r="W22" s="13">
        <f t="shared" si="31"/>
        <v>36045611.111111112</v>
      </c>
      <c r="X22" s="13">
        <f t="shared" si="32"/>
        <v>37827333.333333336</v>
      </c>
      <c r="Y22" s="33">
        <f t="shared" si="33"/>
        <v>116</v>
      </c>
      <c r="Z22" s="32">
        <f t="shared" si="34"/>
        <v>3209623.0428093038</v>
      </c>
      <c r="AA22" s="33">
        <f t="shared" si="35"/>
        <v>115</v>
      </c>
      <c r="AB22" s="32">
        <f t="shared" si="36"/>
        <v>3085040.321046826</v>
      </c>
      <c r="AC22" s="32">
        <f t="shared" si="37"/>
        <v>3129773.7643557237</v>
      </c>
    </row>
    <row r="23" spans="1:29" x14ac:dyDescent="0.25">
      <c r="A23" s="29" t="s">
        <v>2</v>
      </c>
      <c r="B23" s="3">
        <v>93</v>
      </c>
      <c r="C23" s="81">
        <v>107.55</v>
      </c>
      <c r="D23" s="167">
        <v>105.1</v>
      </c>
      <c r="E23" s="3">
        <v>79</v>
      </c>
      <c r="F23" s="3">
        <v>119</v>
      </c>
      <c r="G23" s="3">
        <v>105.89</v>
      </c>
      <c r="H23" s="114">
        <f t="shared" si="38"/>
        <v>107.92022016166645</v>
      </c>
      <c r="I23" s="114"/>
      <c r="K23" s="216"/>
      <c r="L23" s="74" t="str">
        <f>F2</f>
        <v>Reservoir Capacity (%)</v>
      </c>
      <c r="M23" s="29"/>
      <c r="N23" s="29"/>
      <c r="O23" s="75"/>
      <c r="Q23" s="18"/>
      <c r="R23" s="18"/>
      <c r="S23" s="29" t="s">
        <v>2</v>
      </c>
      <c r="T23" s="115">
        <f t="array" ref="T23">INDEX($B$35:$B$74,MATCH(MIN(ABS($B$35:$B$74-U7)),ABS($B$35:$B$74-U7),0))</f>
        <v>30700444.444444444</v>
      </c>
      <c r="U23" s="13">
        <f t="shared" si="30"/>
        <v>112</v>
      </c>
      <c r="V23" s="32">
        <f t="shared" si="39"/>
        <v>111</v>
      </c>
      <c r="W23" s="13">
        <f t="shared" si="31"/>
        <v>28918722.222222224</v>
      </c>
      <c r="X23" s="13">
        <f t="shared" si="32"/>
        <v>30700444.444444444</v>
      </c>
      <c r="Y23" s="33">
        <f t="shared" si="33"/>
        <v>112</v>
      </c>
      <c r="Z23" s="32">
        <f t="shared" si="34"/>
        <v>2697944.0069991252</v>
      </c>
      <c r="AA23" s="33">
        <f t="shared" si="35"/>
        <v>111</v>
      </c>
      <c r="AB23" s="32">
        <f t="shared" si="36"/>
        <v>2564262.0967424121</v>
      </c>
      <c r="AC23" s="32">
        <f t="shared" si="37"/>
        <v>2682770.7246809704</v>
      </c>
    </row>
    <row r="24" spans="1:29" x14ac:dyDescent="0.25">
      <c r="A24" s="29" t="s">
        <v>49</v>
      </c>
      <c r="B24" s="3">
        <v>91.9</v>
      </c>
      <c r="C24" s="81">
        <v>111.2</v>
      </c>
      <c r="D24" s="167">
        <v>101.5</v>
      </c>
      <c r="E24" s="3">
        <v>79</v>
      </c>
      <c r="F24" s="3">
        <v>119</v>
      </c>
      <c r="G24" s="3">
        <v>106.22517241379308</v>
      </c>
      <c r="H24" s="114">
        <f t="shared" si="38"/>
        <v>110.58595450143341</v>
      </c>
      <c r="I24" s="114"/>
      <c r="K24" s="216"/>
      <c r="L24" s="74" t="s">
        <v>116</v>
      </c>
      <c r="M24" s="29"/>
      <c r="N24" s="29"/>
      <c r="O24" s="75"/>
      <c r="Q24" s="14"/>
      <c r="R24" s="14"/>
      <c r="S24" s="29" t="s">
        <v>8</v>
      </c>
      <c r="T24" s="115">
        <f t="array" ref="T24">INDEX($B$35:$B$74,MATCH(MIN(ABS($B$35:$B$74-U8)),ABS($B$35:$B$74-U8),0))</f>
        <v>24423300</v>
      </c>
      <c r="U24" s="13">
        <f t="shared" si="30"/>
        <v>108</v>
      </c>
      <c r="V24" s="32">
        <f t="shared" si="39"/>
        <v>107</v>
      </c>
      <c r="W24" s="13">
        <f t="shared" si="31"/>
        <v>23066450</v>
      </c>
      <c r="X24" s="13">
        <f t="shared" si="32"/>
        <v>24423300</v>
      </c>
      <c r="Y24" s="33">
        <f t="shared" si="33"/>
        <v>108</v>
      </c>
      <c r="Z24" s="32">
        <f t="shared" si="34"/>
        <v>2225803.8057742785</v>
      </c>
      <c r="AA24" s="33">
        <f t="shared" si="35"/>
        <v>107</v>
      </c>
      <c r="AB24" s="32">
        <f t="shared" si="36"/>
        <v>2121794.2821399663</v>
      </c>
      <c r="AC24" s="32">
        <f t="shared" si="37"/>
        <v>2217505.9427935835</v>
      </c>
    </row>
    <row r="25" spans="1:29" ht="13.5" thickBot="1" x14ac:dyDescent="0.3">
      <c r="A25" s="29" t="s">
        <v>50</v>
      </c>
      <c r="B25" s="3">
        <v>95</v>
      </c>
      <c r="C25" s="81">
        <v>114.05</v>
      </c>
      <c r="D25" s="167">
        <v>104.2</v>
      </c>
      <c r="E25" s="3">
        <v>79</v>
      </c>
      <c r="F25" s="3">
        <v>119</v>
      </c>
      <c r="G25" s="3">
        <v>108.93206896551725</v>
      </c>
      <c r="H25" s="114">
        <f t="shared" si="38"/>
        <v>112.67909414334115</v>
      </c>
      <c r="I25" s="114"/>
      <c r="K25" s="76" t="s">
        <v>117</v>
      </c>
      <c r="L25" s="77"/>
      <c r="M25" s="78"/>
      <c r="N25" s="78"/>
      <c r="O25" s="79"/>
      <c r="Q25" s="14"/>
      <c r="R25" s="14"/>
      <c r="S25" s="29" t="s">
        <v>9</v>
      </c>
      <c r="T25" s="115">
        <f t="array" ref="T25">INDEX($B$35:$B$74,MATCH(MIN(ABS($B$35:$B$74-U9)),ABS($B$35:$B$74-U9),0))</f>
        <v>28918722.222222224</v>
      </c>
      <c r="U25" s="13">
        <f t="shared" si="30"/>
        <v>111</v>
      </c>
      <c r="V25" s="32">
        <f t="shared" si="39"/>
        <v>110</v>
      </c>
      <c r="W25" s="13">
        <f t="shared" si="31"/>
        <v>27137000</v>
      </c>
      <c r="X25" s="13">
        <f t="shared" si="32"/>
        <v>28918722.222222224</v>
      </c>
      <c r="Y25" s="33">
        <f t="shared" si="33"/>
        <v>111</v>
      </c>
      <c r="Z25" s="32">
        <f t="shared" si="34"/>
        <v>2564262.0967424121</v>
      </c>
      <c r="AA25" s="33">
        <f t="shared" si="35"/>
        <v>110</v>
      </c>
      <c r="AB25" s="32">
        <f t="shared" si="36"/>
        <v>2428149.6062992127</v>
      </c>
      <c r="AC25" s="32">
        <f t="shared" si="37"/>
        <v>2507905.3327757167</v>
      </c>
    </row>
    <row r="26" spans="1:29" x14ac:dyDescent="0.25">
      <c r="A26" s="29" t="s">
        <v>51</v>
      </c>
      <c r="B26" s="3">
        <v>98.5</v>
      </c>
      <c r="C26" s="81">
        <v>116.25</v>
      </c>
      <c r="D26" s="167">
        <v>104.25</v>
      </c>
      <c r="E26" s="3">
        <v>79</v>
      </c>
      <c r="F26" s="3">
        <v>119</v>
      </c>
      <c r="G26" s="3">
        <v>111.14</v>
      </c>
      <c r="H26" s="114"/>
      <c r="I26" s="114"/>
      <c r="K26" s="14"/>
      <c r="L26" s="14"/>
      <c r="M26" s="14"/>
      <c r="N26" s="14"/>
      <c r="O26" s="14"/>
      <c r="Q26" s="14"/>
      <c r="R26" s="14"/>
      <c r="S26" s="29" t="s">
        <v>11</v>
      </c>
      <c r="T26" s="115">
        <f t="array" ref="T26">INDEX($B$35:$B$74,MATCH(MIN(ABS($B$35:$B$74-U10)),ABS($B$35:$B$74-U10),0))</f>
        <v>32482166.666666668</v>
      </c>
      <c r="U26" s="13">
        <f t="shared" si="30"/>
        <v>113</v>
      </c>
      <c r="V26" s="32">
        <f t="shared" si="39"/>
        <v>112</v>
      </c>
      <c r="W26" s="13">
        <f t="shared" si="31"/>
        <v>30700444.444444444</v>
      </c>
      <c r="X26" s="13">
        <f t="shared" si="32"/>
        <v>32482166.666666668</v>
      </c>
      <c r="Y26" s="33">
        <f t="shared" si="33"/>
        <v>113</v>
      </c>
      <c r="Z26" s="32">
        <f t="shared" si="34"/>
        <v>2829259.8657468702</v>
      </c>
      <c r="AA26" s="33">
        <f t="shared" si="35"/>
        <v>112</v>
      </c>
      <c r="AB26" s="32">
        <f t="shared" si="36"/>
        <v>2697944.0069991252</v>
      </c>
      <c r="AC26" s="32">
        <f t="shared" si="37"/>
        <v>2787119.837602532</v>
      </c>
    </row>
    <row r="27" spans="1:29" ht="13.5" thickBot="1" x14ac:dyDescent="0.3">
      <c r="A27" s="29" t="s">
        <v>52</v>
      </c>
      <c r="B27" s="3">
        <v>101.71</v>
      </c>
      <c r="C27" s="81">
        <v>119.05</v>
      </c>
      <c r="D27" s="159">
        <v>103.4</v>
      </c>
      <c r="E27" s="3">
        <v>79</v>
      </c>
      <c r="F27" s="3">
        <v>119</v>
      </c>
      <c r="G27" s="3">
        <v>112.42</v>
      </c>
      <c r="H27" s="114"/>
      <c r="I27" s="114"/>
      <c r="K27" s="108"/>
      <c r="L27" s="108"/>
      <c r="M27" s="108"/>
      <c r="N27" s="108"/>
      <c r="O27" s="108"/>
      <c r="Q27" s="70"/>
      <c r="R27" s="100"/>
      <c r="S27" s="29" t="s">
        <v>12</v>
      </c>
      <c r="T27" s="115">
        <f t="array" ref="T27">INDEX($B$35:$B$74,MATCH(MIN(ABS($B$35:$B$74-U11)),ABS($B$35:$B$74-U11),0))</f>
        <v>36045611.111111112</v>
      </c>
      <c r="U27" s="13">
        <f t="shared" si="30"/>
        <v>115</v>
      </c>
      <c r="V27" s="32">
        <f t="shared" si="39"/>
        <v>114</v>
      </c>
      <c r="W27" s="13">
        <f t="shared" si="31"/>
        <v>34263888.888888888</v>
      </c>
      <c r="X27" s="13">
        <f t="shared" si="32"/>
        <v>36045611.111111112</v>
      </c>
      <c r="Y27" s="33">
        <f t="shared" si="33"/>
        <v>115</v>
      </c>
      <c r="Z27" s="32">
        <f t="shared" si="34"/>
        <v>3085040.321046826</v>
      </c>
      <c r="AA27" s="33">
        <f t="shared" si="35"/>
        <v>114</v>
      </c>
      <c r="AB27" s="32">
        <f t="shared" si="36"/>
        <v>2958271.9374990403</v>
      </c>
      <c r="AC27" s="32">
        <f t="shared" si="37"/>
        <v>3046963.451079098</v>
      </c>
    </row>
    <row r="28" spans="1:29" ht="15" x14ac:dyDescent="0.25">
      <c r="A28" s="29" t="s">
        <v>53</v>
      </c>
      <c r="B28" s="3">
        <v>102.75</v>
      </c>
      <c r="C28" s="81">
        <v>119.4</v>
      </c>
      <c r="D28" s="159">
        <v>104.9</v>
      </c>
      <c r="E28" s="3">
        <v>79</v>
      </c>
      <c r="F28" s="3">
        <v>119</v>
      </c>
      <c r="G28" s="3">
        <v>114.27</v>
      </c>
      <c r="H28" s="114"/>
      <c r="I28" s="114"/>
      <c r="K28" s="226" t="s">
        <v>46</v>
      </c>
      <c r="L28" s="227"/>
      <c r="M28" s="227"/>
      <c r="N28" s="228"/>
      <c r="O28" s="14"/>
      <c r="Q28" s="14"/>
      <c r="R28" s="14"/>
      <c r="S28" s="29" t="s">
        <v>13</v>
      </c>
      <c r="T28" s="115">
        <f t="array" ref="T28">INDEX($B$35:$B$74,MATCH(MIN(ABS($B$35:$B$74-U12)),ABS($B$35:$B$74-U12),0))</f>
        <v>43172500</v>
      </c>
      <c r="U28" s="13">
        <f t="shared" si="30"/>
        <v>119</v>
      </c>
      <c r="V28" s="32">
        <f t="shared" si="39"/>
        <v>118</v>
      </c>
      <c r="W28" s="13">
        <f t="shared" si="31"/>
        <v>41390777.777777776</v>
      </c>
      <c r="X28" s="13">
        <f t="shared" si="32"/>
        <v>43172500</v>
      </c>
      <c r="Y28" s="33">
        <f t="shared" si="33"/>
        <v>120</v>
      </c>
      <c r="Z28" s="32">
        <f t="shared" si="34"/>
        <v>3570808.2445576657</v>
      </c>
      <c r="AA28" s="33">
        <f t="shared" si="35"/>
        <v>119</v>
      </c>
      <c r="AB28" s="32">
        <f t="shared" si="36"/>
        <v>3570808.2445576657</v>
      </c>
      <c r="AC28" s="32">
        <f t="shared" si="37"/>
        <v>3570808.2445576657</v>
      </c>
    </row>
    <row r="29" spans="1:29" ht="14.25" x14ac:dyDescent="0.25">
      <c r="A29" s="29" t="s">
        <v>54</v>
      </c>
      <c r="B29" s="3">
        <v>103.5</v>
      </c>
      <c r="C29" s="81">
        <v>119.15</v>
      </c>
      <c r="D29" s="159">
        <v>109.8</v>
      </c>
      <c r="E29" s="3">
        <v>79</v>
      </c>
      <c r="F29" s="3">
        <v>119</v>
      </c>
      <c r="G29" s="3">
        <v>116.38285714285701</v>
      </c>
      <c r="H29" s="114"/>
      <c r="I29" s="114"/>
      <c r="K29" s="35" t="s">
        <v>19</v>
      </c>
      <c r="L29" s="22"/>
      <c r="M29" s="22"/>
      <c r="N29" s="37">
        <v>19900000</v>
      </c>
      <c r="O29" s="14"/>
      <c r="Q29" s="14"/>
      <c r="R29" s="14"/>
      <c r="S29" s="29" t="s">
        <v>14</v>
      </c>
      <c r="T29" s="115">
        <f t="array" ref="T29">INDEX($B$35:$B$74,MATCH(MIN(ABS($B$35:$B$74-U13)),ABS($B$35:$B$74-U13),0))</f>
        <v>43172500</v>
      </c>
      <c r="U29" s="13">
        <f t="shared" si="30"/>
        <v>119</v>
      </c>
      <c r="V29" s="32">
        <f t="shared" si="39"/>
        <v>118</v>
      </c>
      <c r="W29" s="13">
        <f t="shared" si="31"/>
        <v>41390777.777777776</v>
      </c>
      <c r="X29" s="13">
        <f t="shared" si="32"/>
        <v>43172500</v>
      </c>
      <c r="Y29" s="33">
        <f t="shared" si="33"/>
        <v>120</v>
      </c>
      <c r="Z29" s="32">
        <f t="shared" si="34"/>
        <v>3570808.2445576657</v>
      </c>
      <c r="AA29" s="33">
        <f t="shared" si="35"/>
        <v>119</v>
      </c>
      <c r="AB29" s="32">
        <f t="shared" si="36"/>
        <v>3570808.2445576657</v>
      </c>
      <c r="AC29" s="32">
        <f t="shared" si="37"/>
        <v>3570808.2445576657</v>
      </c>
    </row>
    <row r="30" spans="1:29" x14ac:dyDescent="0.25">
      <c r="A30" s="29" t="s">
        <v>55</v>
      </c>
      <c r="B30" s="3">
        <v>111.4</v>
      </c>
      <c r="C30" s="81">
        <v>119</v>
      </c>
      <c r="D30" s="159">
        <v>113.2</v>
      </c>
      <c r="E30" s="3">
        <v>79</v>
      </c>
      <c r="F30" s="3">
        <v>119</v>
      </c>
      <c r="G30" s="3">
        <v>117.62142857142901</v>
      </c>
      <c r="H30" s="114"/>
      <c r="I30" s="114"/>
      <c r="K30" s="35" t="s">
        <v>1</v>
      </c>
      <c r="L30" s="22"/>
      <c r="M30" s="22"/>
      <c r="N30" s="37">
        <v>0.5</v>
      </c>
      <c r="O30" s="14"/>
      <c r="Q30" s="14"/>
      <c r="R30" s="14"/>
      <c r="S30" s="29" t="s">
        <v>3</v>
      </c>
      <c r="T30" s="115">
        <f t="array" ref="T30">INDEX($B$35:$B$74,MATCH(MIN(ABS($B$35:$B$74-U14)),ABS($B$35:$B$74-U14),0))</f>
        <v>43172500</v>
      </c>
      <c r="U30" s="13">
        <f t="shared" si="30"/>
        <v>119</v>
      </c>
      <c r="V30" s="32">
        <f t="shared" si="39"/>
        <v>118</v>
      </c>
      <c r="W30" s="13">
        <f t="shared" si="31"/>
        <v>41390777.777777776</v>
      </c>
      <c r="X30" s="13">
        <f t="shared" si="32"/>
        <v>43172500</v>
      </c>
      <c r="Y30" s="33">
        <f t="shared" si="33"/>
        <v>119</v>
      </c>
      <c r="Z30" s="32">
        <f t="shared" si="34"/>
        <v>3570808.2445576657</v>
      </c>
      <c r="AA30" s="33">
        <f t="shared" si="35"/>
        <v>119</v>
      </c>
      <c r="AB30" s="32">
        <f t="shared" si="36"/>
        <v>3570808.2445576657</v>
      </c>
      <c r="AC30" s="32">
        <f t="shared" si="37"/>
        <v>3570808.2445576657</v>
      </c>
    </row>
    <row r="31" spans="1:29" x14ac:dyDescent="0.25">
      <c r="A31" s="17"/>
      <c r="B31" s="14"/>
      <c r="C31" s="17"/>
      <c r="D31" s="14"/>
      <c r="E31" s="14"/>
      <c r="F31" s="17"/>
      <c r="G31" s="14"/>
      <c r="H31" s="17"/>
      <c r="I31" s="14"/>
      <c r="K31" s="35" t="s">
        <v>66</v>
      </c>
      <c r="L31" s="22"/>
      <c r="M31" s="22"/>
      <c r="N31" s="41">
        <f>B74</f>
        <v>43172500</v>
      </c>
      <c r="O31" s="14"/>
      <c r="Q31" s="14"/>
      <c r="R31" s="14"/>
      <c r="Y31" s="54"/>
      <c r="Z31" s="14"/>
      <c r="AA31" s="15"/>
      <c r="AB31" s="15"/>
      <c r="AC31" s="14"/>
    </row>
    <row r="32" spans="1:29" x14ac:dyDescent="0.25">
      <c r="A32" s="62"/>
      <c r="B32" s="14"/>
      <c r="C32" s="62"/>
      <c r="D32" s="14"/>
      <c r="E32" s="14"/>
      <c r="F32" s="62"/>
      <c r="G32" s="14"/>
      <c r="H32" s="62"/>
      <c r="I32" s="14"/>
      <c r="K32" s="35" t="s">
        <v>45</v>
      </c>
      <c r="L32" s="22"/>
      <c r="M32" s="22"/>
      <c r="N32" s="96">
        <f>A35</f>
        <v>80</v>
      </c>
      <c r="O32" s="14"/>
      <c r="Q32" s="14"/>
      <c r="R32" s="14"/>
    </row>
    <row r="33" spans="1:18" s="42" customFormat="1" ht="15" x14ac:dyDescent="0.25">
      <c r="A33" s="223" t="s">
        <v>65</v>
      </c>
      <c r="B33" s="224"/>
      <c r="C33" s="224"/>
      <c r="D33" s="224"/>
      <c r="E33" s="225"/>
      <c r="F33" s="43"/>
      <c r="G33" s="44"/>
      <c r="H33" s="43"/>
      <c r="I33" s="43"/>
      <c r="K33" s="35" t="s">
        <v>84</v>
      </c>
      <c r="L33" s="22"/>
      <c r="M33" s="22"/>
      <c r="N33" s="49">
        <v>220</v>
      </c>
      <c r="O33" s="43"/>
      <c r="Q33" s="43"/>
      <c r="R33" s="43"/>
    </row>
    <row r="34" spans="1:18" ht="13.5" thickBot="1" x14ac:dyDescent="0.3">
      <c r="A34" s="25" t="s">
        <v>23</v>
      </c>
      <c r="B34" s="25" t="s">
        <v>24</v>
      </c>
      <c r="C34" s="25" t="s">
        <v>23</v>
      </c>
      <c r="D34" s="25" t="s">
        <v>70</v>
      </c>
      <c r="E34" s="25" t="s">
        <v>106</v>
      </c>
      <c r="F34" s="14"/>
      <c r="G34" s="19"/>
      <c r="H34" s="14"/>
      <c r="I34" s="14"/>
      <c r="K34" s="50" t="s">
        <v>74</v>
      </c>
      <c r="L34" s="51"/>
      <c r="M34" s="51"/>
      <c r="N34" s="52">
        <v>40000000</v>
      </c>
      <c r="O34" s="14"/>
    </row>
    <row r="35" spans="1:18" x14ac:dyDescent="0.25">
      <c r="A35" s="13">
        <v>80</v>
      </c>
      <c r="B35" s="13">
        <v>1233500</v>
      </c>
      <c r="C35" s="13">
        <v>80</v>
      </c>
      <c r="D35" s="95">
        <v>3.6285714285714281</v>
      </c>
      <c r="E35" s="13">
        <v>151759.35039370079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</row>
    <row r="36" spans="1:18" x14ac:dyDescent="0.25">
      <c r="A36" s="13">
        <v>81</v>
      </c>
      <c r="B36" s="13">
        <v>1603550</v>
      </c>
      <c r="C36" s="13">
        <v>81</v>
      </c>
      <c r="D36" s="95">
        <v>4.4857142857142849</v>
      </c>
      <c r="E36" s="13">
        <v>194851.51161660347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</row>
    <row r="37" spans="1:18" x14ac:dyDescent="0.25">
      <c r="A37" s="13">
        <v>82</v>
      </c>
      <c r="B37" s="13">
        <v>1973600</v>
      </c>
      <c r="C37" s="13">
        <v>82</v>
      </c>
      <c r="D37" s="95">
        <v>5.3428571428571425</v>
      </c>
      <c r="E37" s="13">
        <v>236892.64451699634</v>
      </c>
      <c r="F37" s="11"/>
      <c r="G37" s="11"/>
      <c r="H37" s="11"/>
      <c r="I37" s="11"/>
      <c r="J37" s="11"/>
      <c r="K37" s="11"/>
    </row>
    <row r="38" spans="1:18" x14ac:dyDescent="0.25">
      <c r="A38" s="13">
        <v>83</v>
      </c>
      <c r="B38" s="13">
        <v>2343649.9999999995</v>
      </c>
      <c r="C38" s="13">
        <v>83</v>
      </c>
      <c r="D38" s="95">
        <v>6.1999999999999993</v>
      </c>
      <c r="E38" s="13">
        <v>277920.7380703917</v>
      </c>
      <c r="F38" s="19"/>
      <c r="G38" s="14"/>
      <c r="H38" s="14"/>
      <c r="I38" s="14"/>
      <c r="J38" s="14"/>
      <c r="K38" s="14"/>
    </row>
    <row r="39" spans="1:18" x14ac:dyDescent="0.25">
      <c r="A39" s="13">
        <v>84</v>
      </c>
      <c r="B39" s="13">
        <v>2713700</v>
      </c>
      <c r="C39" s="13">
        <v>84</v>
      </c>
      <c r="D39" s="95">
        <v>7.0571428571428561</v>
      </c>
      <c r="E39" s="13">
        <v>317971.9722534683</v>
      </c>
      <c r="F39" s="19"/>
      <c r="G39" s="14"/>
      <c r="H39" s="14"/>
      <c r="I39" s="14"/>
      <c r="J39" s="14"/>
      <c r="K39" s="14"/>
    </row>
    <row r="40" spans="1:18" ht="15.75" x14ac:dyDescent="0.25">
      <c r="A40" s="13">
        <v>85</v>
      </c>
      <c r="B40" s="13">
        <v>3083750</v>
      </c>
      <c r="C40" s="13">
        <v>85</v>
      </c>
      <c r="D40" s="95">
        <v>7.9142857142857128</v>
      </c>
      <c r="E40" s="13">
        <v>357080.82445576653</v>
      </c>
      <c r="K40" s="68"/>
    </row>
    <row r="41" spans="1:18" x14ac:dyDescent="0.25">
      <c r="A41" s="13">
        <v>86</v>
      </c>
      <c r="B41" s="13">
        <v>3453800</v>
      </c>
      <c r="C41" s="13">
        <v>86</v>
      </c>
      <c r="D41" s="95">
        <v>8.7714285714285705</v>
      </c>
      <c r="E41" s="13">
        <v>395280.16846731363</v>
      </c>
      <c r="K41" s="11"/>
    </row>
    <row r="42" spans="1:18" x14ac:dyDescent="0.25">
      <c r="A42" s="13">
        <v>87</v>
      </c>
      <c r="B42" s="13">
        <v>3823850</v>
      </c>
      <c r="C42" s="13">
        <v>87</v>
      </c>
      <c r="D42" s="95">
        <v>9.6285714285714281</v>
      </c>
      <c r="E42" s="13">
        <v>432601.36663951486</v>
      </c>
      <c r="K42" s="109"/>
    </row>
    <row r="43" spans="1:18" x14ac:dyDescent="0.25">
      <c r="A43" s="13">
        <v>88</v>
      </c>
      <c r="B43" s="13">
        <v>4193900</v>
      </c>
      <c r="C43" s="13">
        <v>88</v>
      </c>
      <c r="D43" s="95">
        <v>10.485714285714284</v>
      </c>
      <c r="E43" s="13">
        <v>469074.35576234787</v>
      </c>
      <c r="K43" s="109"/>
    </row>
    <row r="44" spans="1:18" x14ac:dyDescent="0.25">
      <c r="A44" s="13">
        <v>89</v>
      </c>
      <c r="B44" s="13">
        <v>4563950</v>
      </c>
      <c r="C44" s="13">
        <v>89</v>
      </c>
      <c r="D44" s="95">
        <v>11.342857142857142</v>
      </c>
      <c r="E44" s="13">
        <v>504727.72715208348</v>
      </c>
      <c r="K44" s="109"/>
    </row>
    <row r="45" spans="1:18" x14ac:dyDescent="0.25">
      <c r="A45" s="13">
        <v>90</v>
      </c>
      <c r="B45" s="13">
        <v>4934000</v>
      </c>
      <c r="C45" s="13">
        <v>90</v>
      </c>
      <c r="D45" s="95">
        <v>13.228571428571428</v>
      </c>
      <c r="E45" s="13">
        <v>539588.80139982502</v>
      </c>
      <c r="K45" s="109"/>
    </row>
    <row r="46" spans="1:18" x14ac:dyDescent="0.25">
      <c r="A46" s="13">
        <v>91</v>
      </c>
      <c r="B46" s="13">
        <v>5797450</v>
      </c>
      <c r="C46" s="13">
        <v>91</v>
      </c>
      <c r="D46" s="95">
        <v>15.228571428571428</v>
      </c>
      <c r="E46" s="13">
        <v>627049.62360474165</v>
      </c>
      <c r="K46" s="109"/>
    </row>
    <row r="47" spans="1:18" x14ac:dyDescent="0.25">
      <c r="A47" s="13">
        <v>92</v>
      </c>
      <c r="B47" s="13">
        <v>6660900</v>
      </c>
      <c r="C47" s="13">
        <v>92</v>
      </c>
      <c r="D47" s="95">
        <v>17.228571428571428</v>
      </c>
      <c r="E47" s="13">
        <v>712609.1235878123</v>
      </c>
      <c r="K47" s="109"/>
    </row>
    <row r="48" spans="1:18" x14ac:dyDescent="0.25">
      <c r="A48" s="13">
        <v>93</v>
      </c>
      <c r="B48" s="13">
        <v>7524350</v>
      </c>
      <c r="C48" s="13">
        <v>93</v>
      </c>
      <c r="D48" s="95">
        <v>19.228571428571424</v>
      </c>
      <c r="E48" s="13">
        <v>796328.63432393526</v>
      </c>
      <c r="K48" s="109"/>
    </row>
    <row r="49" spans="1:18" x14ac:dyDescent="0.25">
      <c r="A49" s="13">
        <v>94</v>
      </c>
      <c r="B49" s="13">
        <v>8387800</v>
      </c>
      <c r="C49" s="13">
        <v>94</v>
      </c>
      <c r="D49" s="95">
        <v>21.228571428571431</v>
      </c>
      <c r="E49" s="13">
        <v>878266.87887418317</v>
      </c>
      <c r="K49" s="109"/>
    </row>
    <row r="50" spans="1:18" x14ac:dyDescent="0.25">
      <c r="A50" s="13">
        <v>95</v>
      </c>
      <c r="B50" s="13">
        <v>9251250</v>
      </c>
      <c r="C50" s="13">
        <v>95</v>
      </c>
      <c r="D50" s="95">
        <v>23.228571428571428</v>
      </c>
      <c r="E50" s="13">
        <v>958480.10774968914</v>
      </c>
      <c r="K50" s="109"/>
    </row>
    <row r="51" spans="1:18" x14ac:dyDescent="0.25">
      <c r="A51" s="13">
        <v>96</v>
      </c>
      <c r="B51" s="13">
        <v>10114700</v>
      </c>
      <c r="C51" s="13">
        <v>96</v>
      </c>
      <c r="D51" s="95">
        <v>25.228571428571428</v>
      </c>
      <c r="E51" s="13">
        <v>1037022.2276902886</v>
      </c>
      <c r="K51" s="109"/>
      <c r="R51" s="58"/>
    </row>
    <row r="52" spans="1:18" x14ac:dyDescent="0.25">
      <c r="A52" s="13">
        <v>97</v>
      </c>
      <c r="B52" s="13">
        <v>10978150</v>
      </c>
      <c r="C52" s="13">
        <v>97</v>
      </c>
      <c r="D52" s="95">
        <v>27.228571428571431</v>
      </c>
      <c r="E52" s="13">
        <v>1113944.9224774737</v>
      </c>
      <c r="K52" s="109"/>
      <c r="R52" s="58"/>
    </row>
    <row r="53" spans="1:18" x14ac:dyDescent="0.25">
      <c r="A53" s="13">
        <v>98</v>
      </c>
      <c r="B53" s="13">
        <v>11841600</v>
      </c>
      <c r="C53" s="13">
        <v>98</v>
      </c>
      <c r="D53" s="95">
        <v>29.228571428571428</v>
      </c>
      <c r="E53" s="13">
        <v>1189297.7663506346</v>
      </c>
      <c r="K53" s="109"/>
      <c r="R53" s="58"/>
    </row>
    <row r="54" spans="1:18" x14ac:dyDescent="0.25">
      <c r="A54" s="13">
        <v>99</v>
      </c>
      <c r="B54" s="13">
        <v>12705050</v>
      </c>
      <c r="C54" s="13">
        <v>99</v>
      </c>
      <c r="D54" s="95">
        <v>31.228571428571428</v>
      </c>
      <c r="E54" s="13">
        <v>1263128.3305495903</v>
      </c>
      <c r="I54" s="58"/>
      <c r="J54" s="58"/>
      <c r="K54" s="58"/>
      <c r="L54" s="58"/>
      <c r="M54" s="58"/>
      <c r="N54" s="58"/>
      <c r="O54" s="58"/>
      <c r="P54" s="58"/>
      <c r="Q54" s="58"/>
      <c r="R54" s="58"/>
    </row>
    <row r="55" spans="1:18" x14ac:dyDescent="0.25">
      <c r="A55" s="13">
        <v>100</v>
      </c>
      <c r="B55" s="13">
        <v>13568500</v>
      </c>
      <c r="C55" s="13">
        <v>100</v>
      </c>
      <c r="D55" s="95">
        <v>34.25714285714286</v>
      </c>
      <c r="E55" s="13">
        <v>1335482.2834645668</v>
      </c>
      <c r="I55" s="58"/>
      <c r="J55" s="58"/>
      <c r="K55" s="58"/>
      <c r="L55" s="58"/>
      <c r="M55" s="58"/>
      <c r="N55" s="58"/>
      <c r="O55" s="58"/>
      <c r="P55" s="58"/>
      <c r="Q55" s="58"/>
      <c r="R55" s="58"/>
    </row>
    <row r="56" spans="1:18" x14ac:dyDescent="0.25">
      <c r="A56" s="13">
        <v>101</v>
      </c>
      <c r="B56" s="13">
        <v>14925350</v>
      </c>
      <c r="C56" s="13">
        <v>101</v>
      </c>
      <c r="D56" s="95">
        <v>37.399999999999991</v>
      </c>
      <c r="E56" s="13">
        <v>1454485.6552584392</v>
      </c>
      <c r="I56" s="58"/>
      <c r="J56" s="58"/>
      <c r="K56" s="58"/>
      <c r="L56" s="58"/>
      <c r="M56" s="58"/>
      <c r="N56" s="58"/>
      <c r="O56" s="58"/>
      <c r="P56" s="58"/>
      <c r="Q56" s="58"/>
      <c r="R56" s="58"/>
    </row>
    <row r="57" spans="1:18" x14ac:dyDescent="0.25">
      <c r="A57" s="13">
        <v>102</v>
      </c>
      <c r="B57" s="13">
        <v>16282200</v>
      </c>
      <c r="C57" s="13">
        <v>102</v>
      </c>
      <c r="D57" s="95">
        <v>40.542857142857144</v>
      </c>
      <c r="E57" s="13">
        <v>1571155.6276053728</v>
      </c>
      <c r="I57" s="58"/>
      <c r="J57" s="58"/>
      <c r="K57" s="58"/>
      <c r="L57" s="58"/>
      <c r="M57" s="58"/>
      <c r="N57" s="58"/>
      <c r="O57" s="58"/>
      <c r="P57" s="58"/>
      <c r="Q57" s="58"/>
      <c r="R57" s="58"/>
    </row>
    <row r="58" spans="1:18" x14ac:dyDescent="0.25">
      <c r="A58" s="13">
        <v>103</v>
      </c>
      <c r="B58" s="13">
        <v>17639050</v>
      </c>
      <c r="C58" s="13">
        <v>103</v>
      </c>
      <c r="D58" s="95">
        <v>43.685714285714283</v>
      </c>
      <c r="E58" s="13">
        <v>1685560.1635960552</v>
      </c>
      <c r="I58" s="58"/>
      <c r="J58" s="58"/>
      <c r="K58" s="58"/>
      <c r="L58" s="58"/>
      <c r="M58" s="58"/>
      <c r="N58" s="58"/>
      <c r="O58" s="58"/>
      <c r="P58" s="58"/>
      <c r="Q58" s="58"/>
      <c r="R58" s="58"/>
    </row>
    <row r="59" spans="1:18" x14ac:dyDescent="0.25">
      <c r="A59" s="13">
        <v>104</v>
      </c>
      <c r="B59" s="13">
        <v>18995900</v>
      </c>
      <c r="C59" s="13">
        <v>104</v>
      </c>
      <c r="D59" s="95">
        <v>46.828571428571422</v>
      </c>
      <c r="E59" s="13">
        <v>1797764.6123561477</v>
      </c>
      <c r="I59" s="58"/>
      <c r="J59" s="58"/>
      <c r="K59" s="58"/>
      <c r="L59" s="58"/>
      <c r="M59" s="58"/>
      <c r="N59" s="58"/>
      <c r="O59" s="58"/>
      <c r="P59" s="58"/>
      <c r="Q59" s="58"/>
      <c r="R59" s="58"/>
    </row>
    <row r="60" spans="1:18" x14ac:dyDescent="0.25">
      <c r="A60" s="13">
        <v>105</v>
      </c>
      <c r="B60" s="13">
        <v>20352750</v>
      </c>
      <c r="C60" s="13">
        <v>105</v>
      </c>
      <c r="D60" s="95">
        <v>49.971428571428568</v>
      </c>
      <c r="E60" s="13">
        <v>1907831.8335208097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</row>
    <row r="61" spans="1:18" x14ac:dyDescent="0.25">
      <c r="A61" s="13">
        <v>106</v>
      </c>
      <c r="B61" s="13">
        <v>21709600</v>
      </c>
      <c r="C61" s="13">
        <v>106</v>
      </c>
      <c r="D61" s="95">
        <v>53.1142857142857</v>
      </c>
      <c r="E61" s="13">
        <v>2015822.314663497</v>
      </c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</row>
    <row r="62" spans="1:18" x14ac:dyDescent="0.25">
      <c r="A62" s="13">
        <v>107</v>
      </c>
      <c r="B62" s="13">
        <v>23066450</v>
      </c>
      <c r="C62" s="13">
        <v>107</v>
      </c>
      <c r="D62" s="95">
        <v>56.257142857142853</v>
      </c>
      <c r="E62" s="13">
        <v>2121794.2821399663</v>
      </c>
      <c r="F62" s="26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</row>
    <row r="63" spans="1:18" x14ac:dyDescent="0.25">
      <c r="A63" s="13">
        <v>108</v>
      </c>
      <c r="B63" s="13">
        <v>24423300</v>
      </c>
      <c r="C63" s="13">
        <v>108</v>
      </c>
      <c r="D63" s="95">
        <v>59.4</v>
      </c>
      <c r="E63" s="13">
        <v>2225803.8057742785</v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</row>
    <row r="64" spans="1:18" x14ac:dyDescent="0.25">
      <c r="A64" s="32">
        <v>109</v>
      </c>
      <c r="B64" s="32">
        <v>25780150</v>
      </c>
      <c r="C64" s="32">
        <v>109</v>
      </c>
      <c r="D64" s="31">
        <v>62.542857142857144</v>
      </c>
      <c r="E64" s="32">
        <v>2327904.8977822727</v>
      </c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</row>
    <row r="65" spans="1:18" x14ac:dyDescent="0.25">
      <c r="A65" s="32">
        <v>110</v>
      </c>
      <c r="B65" s="32">
        <v>27137000</v>
      </c>
      <c r="C65" s="32">
        <v>110</v>
      </c>
      <c r="D65" s="31">
        <v>66.571428571428569</v>
      </c>
      <c r="E65" s="32">
        <v>2428149.6062992127</v>
      </c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</row>
    <row r="66" spans="1:18" x14ac:dyDescent="0.25">
      <c r="A66" s="32">
        <v>111</v>
      </c>
      <c r="B66" s="32">
        <v>28918722.222222224</v>
      </c>
      <c r="C66" s="32">
        <v>111</v>
      </c>
      <c r="D66" s="31">
        <v>70.698412698412696</v>
      </c>
      <c r="E66" s="32">
        <v>2564262.0967424121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</row>
    <row r="67" spans="1:18" x14ac:dyDescent="0.25">
      <c r="A67" s="32">
        <v>112</v>
      </c>
      <c r="B67" s="32">
        <v>30700444.444444444</v>
      </c>
      <c r="C67" s="32">
        <v>112</v>
      </c>
      <c r="D67" s="31">
        <v>74.825396825396822</v>
      </c>
      <c r="E67" s="32">
        <v>2697944.0069991252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</row>
    <row r="68" spans="1:18" x14ac:dyDescent="0.25">
      <c r="A68" s="32">
        <v>113</v>
      </c>
      <c r="B68" s="32">
        <v>32482166.666666668</v>
      </c>
      <c r="C68" s="32">
        <v>113</v>
      </c>
      <c r="D68" s="31">
        <v>78.952380952380949</v>
      </c>
      <c r="E68" s="32">
        <v>2829259.8657468702</v>
      </c>
      <c r="F68" s="14"/>
    </row>
    <row r="69" spans="1:18" x14ac:dyDescent="0.25">
      <c r="A69" s="32">
        <v>114</v>
      </c>
      <c r="B69" s="32">
        <v>34263888.888888888</v>
      </c>
      <c r="C69" s="32">
        <v>114</v>
      </c>
      <c r="D69" s="31">
        <v>83.079365079365076</v>
      </c>
      <c r="E69" s="32">
        <v>2958271.9374990403</v>
      </c>
    </row>
    <row r="70" spans="1:18" x14ac:dyDescent="0.25">
      <c r="A70" s="32">
        <v>115</v>
      </c>
      <c r="B70" s="32">
        <v>36045611.111111112</v>
      </c>
      <c r="C70" s="32">
        <v>115</v>
      </c>
      <c r="D70" s="31">
        <v>87.206349206349202</v>
      </c>
      <c r="E70" s="32">
        <v>3085040.321046826</v>
      </c>
    </row>
    <row r="71" spans="1:18" x14ac:dyDescent="0.25">
      <c r="A71" s="32">
        <v>116</v>
      </c>
      <c r="B71" s="32">
        <v>37827333.333333336</v>
      </c>
      <c r="C71" s="32">
        <v>116</v>
      </c>
      <c r="D71" s="31">
        <v>91.333333333333329</v>
      </c>
      <c r="E71" s="32">
        <v>3209623.0428093038</v>
      </c>
    </row>
    <row r="72" spans="1:18" x14ac:dyDescent="0.25">
      <c r="A72" s="32">
        <v>117</v>
      </c>
      <c r="B72" s="32">
        <v>39609055.555555552</v>
      </c>
      <c r="C72" s="32">
        <v>117</v>
      </c>
      <c r="D72" s="31">
        <v>95.460317460317455</v>
      </c>
      <c r="E72" s="32">
        <v>3332076.1453963551</v>
      </c>
    </row>
    <row r="73" spans="1:18" x14ac:dyDescent="0.25">
      <c r="A73" s="32">
        <v>118</v>
      </c>
      <c r="B73" s="32">
        <v>41390777.777777776</v>
      </c>
      <c r="C73" s="32">
        <v>118</v>
      </c>
      <c r="D73" s="31">
        <v>99.587301587301582</v>
      </c>
      <c r="E73" s="32">
        <v>3452453.7716683717</v>
      </c>
    </row>
    <row r="74" spans="1:18" x14ac:dyDescent="0.25">
      <c r="A74" s="32">
        <v>119</v>
      </c>
      <c r="B74" s="32">
        <v>43172500</v>
      </c>
      <c r="C74" s="32">
        <v>119</v>
      </c>
      <c r="D74" s="31">
        <v>100</v>
      </c>
      <c r="E74" s="32">
        <v>3570808.2445576657</v>
      </c>
    </row>
  </sheetData>
  <sheetProtection insertColumns="0" insertRows="0" selectLockedCells="1"/>
  <sortState ref="AA34:AD74">
    <sortCondition ref="AA34:AA74"/>
  </sortState>
  <mergeCells count="7">
    <mergeCell ref="K19:K24"/>
    <mergeCell ref="S1:AC1"/>
    <mergeCell ref="A1:H1"/>
    <mergeCell ref="K18:O18"/>
    <mergeCell ref="A33:E33"/>
    <mergeCell ref="K28:N28"/>
    <mergeCell ref="A17:H1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8"/>
  <sheetViews>
    <sheetView zoomScale="85" zoomScaleNormal="85" workbookViewId="0">
      <selection activeCell="H10" sqref="A4:H10"/>
    </sheetView>
  </sheetViews>
  <sheetFormatPr defaultColWidth="14.28515625" defaultRowHeight="12.75" x14ac:dyDescent="0.25"/>
  <cols>
    <col min="1" max="9" width="14.28515625" style="6"/>
    <col min="10" max="16" width="14.28515625" style="73"/>
    <col min="17" max="16384" width="14.28515625" style="6"/>
  </cols>
  <sheetData>
    <row r="1" spans="1:29" ht="30" x14ac:dyDescent="0.25">
      <c r="A1" s="219" t="s">
        <v>121</v>
      </c>
      <c r="B1" s="219"/>
      <c r="C1" s="219"/>
      <c r="D1" s="219"/>
      <c r="E1" s="219"/>
      <c r="F1" s="219"/>
      <c r="G1" s="219"/>
      <c r="H1" s="219"/>
      <c r="I1" s="72"/>
      <c r="J1" s="72"/>
      <c r="K1" s="72"/>
      <c r="L1" s="72"/>
      <c r="M1" s="72"/>
      <c r="N1" s="72"/>
      <c r="O1" s="72"/>
      <c r="P1" s="72"/>
      <c r="R1" s="234" t="s">
        <v>58</v>
      </c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</row>
    <row r="2" spans="1:29" s="8" customFormat="1" ht="76.5" x14ac:dyDescent="0.25">
      <c r="A2" s="55">
        <v>2018</v>
      </c>
      <c r="B2" s="1" t="s">
        <v>43</v>
      </c>
      <c r="C2" s="1" t="s">
        <v>118</v>
      </c>
      <c r="D2" s="1" t="s">
        <v>88</v>
      </c>
      <c r="E2" s="1" t="s">
        <v>69</v>
      </c>
      <c r="F2" s="1" t="s">
        <v>39</v>
      </c>
      <c r="G2" s="1" t="s">
        <v>15</v>
      </c>
      <c r="H2" s="1" t="s">
        <v>17</v>
      </c>
      <c r="Q2" s="66" t="s">
        <v>101</v>
      </c>
      <c r="R2" s="28" t="s">
        <v>0</v>
      </c>
      <c r="S2" s="28" t="s">
        <v>90</v>
      </c>
      <c r="T2" s="28" t="s">
        <v>31</v>
      </c>
      <c r="U2" s="28" t="s">
        <v>32</v>
      </c>
      <c r="V2" s="71" t="s">
        <v>83</v>
      </c>
      <c r="W2" s="28" t="s">
        <v>26</v>
      </c>
      <c r="X2" s="28" t="s">
        <v>89</v>
      </c>
      <c r="Y2" s="28" t="s">
        <v>103</v>
      </c>
      <c r="Z2" s="28" t="s">
        <v>25</v>
      </c>
      <c r="AA2" s="28" t="s">
        <v>27</v>
      </c>
      <c r="AB2" s="28" t="s">
        <v>28</v>
      </c>
      <c r="AC2" s="28" t="s">
        <v>22</v>
      </c>
    </row>
    <row r="3" spans="1:29" x14ac:dyDescent="0.25">
      <c r="A3" s="29" t="str">
        <f>'Caroni '!A3</f>
        <v>Jan 31st</v>
      </c>
      <c r="B3" s="106" t="s">
        <v>115</v>
      </c>
      <c r="C3" s="106" t="s">
        <v>115</v>
      </c>
      <c r="D3" s="129" t="s">
        <v>115</v>
      </c>
      <c r="E3" s="84">
        <v>311.8</v>
      </c>
      <c r="F3" s="82">
        <v>99.01</v>
      </c>
      <c r="G3" s="106" t="s">
        <v>115</v>
      </c>
      <c r="H3" s="106" t="s">
        <v>115</v>
      </c>
      <c r="Q3" s="32" t="e">
        <f>IF(0.0896*B3+0.4659&lt;5,0,0.0896*B3+0.4659)</f>
        <v>#VALUE!</v>
      </c>
      <c r="R3" s="29" t="s">
        <v>4</v>
      </c>
      <c r="S3" s="29">
        <f>'Caroni '!T3</f>
        <v>31</v>
      </c>
      <c r="T3" s="13">
        <f>IF(U14&gt;$B$78,$B$78,U14)</f>
        <v>18409090.90909091</v>
      </c>
      <c r="U3" s="13">
        <f t="shared" ref="U3:U14" si="0">IF(_xlfn.ISFORMULA(F3)=TRUE, T3+AC3,F3/100*$O$21)</f>
        <v>18226840.90909091</v>
      </c>
      <c r="V3" s="31">
        <f>IF(_xlfn.ISFORMULA(E14)=TRUE,V19+((T3-W19)/(X19-W19)),E14)</f>
        <v>312</v>
      </c>
      <c r="W3" s="32" t="e">
        <f t="shared" ref="W3:W14" si="1">B3/1000*$O$19*$O$20</f>
        <v>#VALUE!</v>
      </c>
      <c r="X3" s="32" t="e">
        <f t="shared" ref="X3:X14" si="2">D3*1000000*S3/$O$23</f>
        <v>#VALUE!</v>
      </c>
      <c r="Y3" s="48">
        <v>2.8322580645161292E-3</v>
      </c>
      <c r="Z3" s="32">
        <f t="shared" ref="Z3:Z14" si="3">AC19*Y3*S3</f>
        <v>238058.52745000002</v>
      </c>
      <c r="AA3" s="32" t="e">
        <f t="shared" ref="AA3:AA15" si="4">C3*1000000/$O$23</f>
        <v>#VALUE!</v>
      </c>
      <c r="AB3" s="32" t="e">
        <f t="shared" ref="AB3:AB14" si="5">AA3*S3</f>
        <v>#VALUE!</v>
      </c>
      <c r="AC3" s="32" t="e">
        <f t="shared" ref="AC3:AC14" si="6">W3 -Z3-AB3+X3</f>
        <v>#VALUE!</v>
      </c>
    </row>
    <row r="4" spans="1:29" x14ac:dyDescent="0.25">
      <c r="A4" s="29" t="str">
        <f>'Caroni '!A4</f>
        <v>Feb 28th</v>
      </c>
      <c r="B4" s="106" t="s">
        <v>115</v>
      </c>
      <c r="C4" s="106" t="s">
        <v>115</v>
      </c>
      <c r="D4" s="129" t="s">
        <v>115</v>
      </c>
      <c r="E4" s="84">
        <v>311.39999999999998</v>
      </c>
      <c r="F4" s="82">
        <v>97.04</v>
      </c>
      <c r="G4" s="106" t="s">
        <v>115</v>
      </c>
      <c r="H4" s="106" t="s">
        <v>115</v>
      </c>
      <c r="Q4" s="32" t="e">
        <f t="shared" ref="Q4:Q14" si="7">IF(0.0896*B4+0.4659&lt;5,0,0.0896*B4+0.4659)</f>
        <v>#VALUE!</v>
      </c>
      <c r="R4" s="29" t="s">
        <v>5</v>
      </c>
      <c r="S4" s="29">
        <f>'Caroni '!T4</f>
        <v>28</v>
      </c>
      <c r="T4" s="13">
        <f t="shared" ref="T4:T14" si="8">IF(U3&gt;$B$78,$B$78,U3)</f>
        <v>18226840.90909091</v>
      </c>
      <c r="U4" s="13">
        <f t="shared" si="0"/>
        <v>17864181.81818182</v>
      </c>
      <c r="V4" s="31">
        <f t="shared" ref="V4:V14" si="9">IF(_xlfn.ISFORMULA(E3)=TRUE,V20+((T4-W20)/(X20-W20)),E3)</f>
        <v>311.8</v>
      </c>
      <c r="W4" s="32" t="e">
        <f t="shared" si="1"/>
        <v>#VALUE!</v>
      </c>
      <c r="X4" s="32" t="e">
        <f t="shared" si="2"/>
        <v>#VALUE!</v>
      </c>
      <c r="Y4" s="48">
        <v>3.0275862068965516E-3</v>
      </c>
      <c r="Z4" s="32">
        <f t="shared" si="3"/>
        <v>228477.37621655181</v>
      </c>
      <c r="AA4" s="32" t="e">
        <f t="shared" si="4"/>
        <v>#VALUE!</v>
      </c>
      <c r="AB4" s="32" t="e">
        <f t="shared" si="5"/>
        <v>#VALUE!</v>
      </c>
      <c r="AC4" s="32" t="e">
        <f t="shared" si="6"/>
        <v>#VALUE!</v>
      </c>
    </row>
    <row r="5" spans="1:29" x14ac:dyDescent="0.25">
      <c r="A5" s="29" t="str">
        <f>'Caroni '!A5</f>
        <v>Mar 31st</v>
      </c>
      <c r="B5" s="156">
        <v>68</v>
      </c>
      <c r="C5" s="156">
        <v>20</v>
      </c>
      <c r="D5" s="158">
        <v>0</v>
      </c>
      <c r="E5" s="84">
        <f>V6</f>
        <v>307.9822938305295</v>
      </c>
      <c r="F5" s="82">
        <f>(T6/$B$78)*100</f>
        <v>83.863179410022241</v>
      </c>
      <c r="G5" s="4">
        <f>(T6*$O$23)/1000000</f>
        <v>3396.4587661059008</v>
      </c>
      <c r="H5" s="32">
        <f>(T6-$O$24/$O$23)/(AA5)</f>
        <v>168.07293830529503</v>
      </c>
      <c r="Q5" s="32">
        <f t="shared" si="7"/>
        <v>6.5587</v>
      </c>
      <c r="R5" s="29" t="s">
        <v>6</v>
      </c>
      <c r="S5" s="29">
        <f>'Caroni '!T5</f>
        <v>31</v>
      </c>
      <c r="T5" s="13">
        <f t="shared" si="8"/>
        <v>17864181.81818182</v>
      </c>
      <c r="U5" s="13">
        <f t="shared" si="0"/>
        <v>15438448.936845003</v>
      </c>
      <c r="V5" s="31">
        <f t="shared" si="9"/>
        <v>311.39999999999998</v>
      </c>
      <c r="W5" s="32">
        <f t="shared" si="1"/>
        <v>643552</v>
      </c>
      <c r="X5" s="32">
        <f t="shared" si="2"/>
        <v>0</v>
      </c>
      <c r="Y5" s="48">
        <v>3.0419354838709676E-3</v>
      </c>
      <c r="Z5" s="32">
        <f t="shared" si="3"/>
        <v>251103.06315499981</v>
      </c>
      <c r="AA5" s="32">
        <f t="shared" si="4"/>
        <v>90909.090909090912</v>
      </c>
      <c r="AB5" s="32">
        <f t="shared" si="5"/>
        <v>2818181.8181818184</v>
      </c>
      <c r="AC5" s="32">
        <f t="shared" si="6"/>
        <v>-2425732.881336818</v>
      </c>
    </row>
    <row r="6" spans="1:29" x14ac:dyDescent="0.25">
      <c r="A6" s="29" t="str">
        <f>'Caroni '!A6</f>
        <v>April 30th</v>
      </c>
      <c r="B6" s="156">
        <v>48</v>
      </c>
      <c r="C6" s="156">
        <v>20</v>
      </c>
      <c r="D6" s="158">
        <v>0</v>
      </c>
      <c r="E6" s="84">
        <f t="shared" ref="E6:E7" si="10">V7</f>
        <v>304.49747333940672</v>
      </c>
      <c r="F6" s="82">
        <f t="shared" ref="F6:F7" si="11">(T7/$B$78)*100</f>
        <v>70.053930059897269</v>
      </c>
      <c r="G6" s="4">
        <f t="shared" ref="G6:G7" si="12">(T7*$O$23)/1000000</f>
        <v>2837.1841674258394</v>
      </c>
      <c r="H6" s="32">
        <f t="shared" ref="H6:H7" si="13">(T7-$O$24/$O$23)/(AA6)</f>
        <v>140.109208371292</v>
      </c>
      <c r="Q6" s="32">
        <f t="shared" si="7"/>
        <v>0</v>
      </c>
      <c r="R6" s="29" t="s">
        <v>7</v>
      </c>
      <c r="S6" s="29">
        <f>'Caroni '!T6</f>
        <v>30</v>
      </c>
      <c r="T6" s="13">
        <f t="shared" si="8"/>
        <v>15438448.936845003</v>
      </c>
      <c r="U6" s="13">
        <f t="shared" si="0"/>
        <v>12896291.670117453</v>
      </c>
      <c r="V6" s="31">
        <f t="shared" si="9"/>
        <v>307.9822938305295</v>
      </c>
      <c r="W6" s="32">
        <f t="shared" si="1"/>
        <v>454272</v>
      </c>
      <c r="X6" s="32">
        <f t="shared" si="2"/>
        <v>0</v>
      </c>
      <c r="Y6" s="48">
        <v>3.6966666666666667E-3</v>
      </c>
      <c r="Z6" s="32">
        <f t="shared" si="3"/>
        <v>269156.53945482359</v>
      </c>
      <c r="AA6" s="32">
        <f t="shared" si="4"/>
        <v>90909.090909090912</v>
      </c>
      <c r="AB6" s="32">
        <f t="shared" si="5"/>
        <v>2727272.7272727275</v>
      </c>
      <c r="AC6" s="32">
        <f t="shared" si="6"/>
        <v>-2542157.2667275509</v>
      </c>
    </row>
    <row r="7" spans="1:29" x14ac:dyDescent="0.25">
      <c r="A7" s="29" t="str">
        <f>'Caroni '!A7</f>
        <v>May 31st</v>
      </c>
      <c r="B7" s="156">
        <v>88</v>
      </c>
      <c r="C7" s="156">
        <v>20</v>
      </c>
      <c r="D7" s="158">
        <v>0</v>
      </c>
      <c r="E7" s="84">
        <f t="shared" si="10"/>
        <v>300.91772226058657</v>
      </c>
      <c r="F7" s="82">
        <f t="shared" si="11"/>
        <v>57.821536445892775</v>
      </c>
      <c r="G7" s="4">
        <f t="shared" si="12"/>
        <v>2341.772226058657</v>
      </c>
      <c r="H7" s="32">
        <f t="shared" si="13"/>
        <v>115.33861130293288</v>
      </c>
      <c r="Q7" s="32">
        <f t="shared" si="7"/>
        <v>8.3506999999999998</v>
      </c>
      <c r="R7" s="29" t="s">
        <v>2</v>
      </c>
      <c r="S7" s="29">
        <f>'Caroni '!T7</f>
        <v>31</v>
      </c>
      <c r="T7" s="13">
        <f t="shared" si="8"/>
        <v>12896291.670117453</v>
      </c>
      <c r="U7" s="13">
        <f t="shared" si="0"/>
        <v>10644419.209357534</v>
      </c>
      <c r="V7" s="31">
        <f t="shared" si="9"/>
        <v>304.49747333940672</v>
      </c>
      <c r="W7" s="32">
        <f t="shared" si="1"/>
        <v>832832</v>
      </c>
      <c r="X7" s="32">
        <f t="shared" si="2"/>
        <v>0</v>
      </c>
      <c r="Y7" s="48">
        <v>3.8806451612903225E-3</v>
      </c>
      <c r="Z7" s="32">
        <f t="shared" si="3"/>
        <v>266522.64257810067</v>
      </c>
      <c r="AA7" s="32">
        <f t="shared" si="4"/>
        <v>90909.090909090912</v>
      </c>
      <c r="AB7" s="32">
        <f t="shared" si="5"/>
        <v>2818181.8181818184</v>
      </c>
      <c r="AC7" s="32">
        <f t="shared" si="6"/>
        <v>-2251872.4607599191</v>
      </c>
    </row>
    <row r="8" spans="1:29" x14ac:dyDescent="0.25">
      <c r="A8" s="29" t="str">
        <f>'Caroni '!A8</f>
        <v>Jun 30th</v>
      </c>
      <c r="B8" s="106">
        <v>297</v>
      </c>
      <c r="C8" s="156">
        <v>20</v>
      </c>
      <c r="D8" s="158">
        <v>10</v>
      </c>
      <c r="E8" s="84">
        <f t="shared" ref="E8" si="14">V9</f>
        <v>303.09928482156863</v>
      </c>
      <c r="F8" s="82">
        <f t="shared" ref="F8" si="15">(T9/$B$78)*100</f>
        <v>64.626539352457129</v>
      </c>
      <c r="G8" s="4">
        <f t="shared" ref="G8" si="16">(T9*$O$23)/1000000</f>
        <v>2617.3748437745144</v>
      </c>
      <c r="H8" s="32">
        <f t="shared" ref="H8" si="17">(T9-$O$24/$O$23)/(AA8)</f>
        <v>129.11874218872572</v>
      </c>
      <c r="Q8" s="32">
        <f t="shared" si="7"/>
        <v>27.077100000000002</v>
      </c>
      <c r="R8" s="29" t="s">
        <v>8</v>
      </c>
      <c r="S8" s="29">
        <f>'Caroni '!T8</f>
        <v>30</v>
      </c>
      <c r="T8" s="13">
        <f t="shared" si="8"/>
        <v>10644419.209357534</v>
      </c>
      <c r="U8" s="13">
        <f t="shared" si="0"/>
        <v>11897158.380793246</v>
      </c>
      <c r="V8" s="31">
        <f t="shared" si="9"/>
        <v>300.91772226058657</v>
      </c>
      <c r="W8" s="32">
        <f t="shared" si="1"/>
        <v>2810808</v>
      </c>
      <c r="X8" s="32">
        <f t="shared" si="2"/>
        <v>1363636.3636363635</v>
      </c>
      <c r="Y8" s="48">
        <v>3.2766666666666664E-3</v>
      </c>
      <c r="Z8" s="32">
        <f t="shared" si="3"/>
        <v>194432.46492792384</v>
      </c>
      <c r="AA8" s="32">
        <f t="shared" si="4"/>
        <v>90909.090909090912</v>
      </c>
      <c r="AB8" s="32">
        <f t="shared" si="5"/>
        <v>2727272.7272727275</v>
      </c>
      <c r="AC8" s="32">
        <f t="shared" si="6"/>
        <v>1252739.1714357121</v>
      </c>
    </row>
    <row r="9" spans="1:29" x14ac:dyDescent="0.25">
      <c r="A9" s="29" t="str">
        <f>'Caroni '!A9</f>
        <v>Jul 31st</v>
      </c>
      <c r="B9" s="106">
        <v>198</v>
      </c>
      <c r="C9" s="156">
        <v>20</v>
      </c>
      <c r="D9" s="158">
        <v>10</v>
      </c>
      <c r="E9" s="84">
        <f t="shared" ref="E9" si="18">V10</f>
        <v>303.42227301920565</v>
      </c>
      <c r="F9" s="82">
        <f t="shared" ref="F9" si="19">(T10/$B$78)*100</f>
        <v>66.022167366938092</v>
      </c>
      <c r="G9" s="4">
        <f t="shared" ref="G9" si="20">(T10*$O$23)/1000000</f>
        <v>2673.897778360993</v>
      </c>
      <c r="H9" s="32">
        <f t="shared" ref="H9" si="21">(T10-$O$24/$O$23)/(AA9)</f>
        <v>131.94488891804966</v>
      </c>
      <c r="Q9" s="32">
        <f t="shared" si="7"/>
        <v>18.206700000000001</v>
      </c>
      <c r="R9" s="29" t="s">
        <v>9</v>
      </c>
      <c r="S9" s="29">
        <f>'Caroni '!T9</f>
        <v>31</v>
      </c>
      <c r="T9" s="13">
        <f t="shared" si="8"/>
        <v>11897158.380793246</v>
      </c>
      <c r="U9" s="13">
        <f t="shared" si="0"/>
        <v>12154080.810731785</v>
      </c>
      <c r="V9" s="31">
        <f t="shared" si="9"/>
        <v>303.09928482156863</v>
      </c>
      <c r="W9" s="32">
        <f t="shared" si="1"/>
        <v>1873872</v>
      </c>
      <c r="X9" s="32">
        <f t="shared" si="2"/>
        <v>1409090.9090909092</v>
      </c>
      <c r="Y9" s="48">
        <v>3.1741935483870967E-3</v>
      </c>
      <c r="Z9" s="32">
        <f t="shared" si="3"/>
        <v>207858.66097055151</v>
      </c>
      <c r="AA9" s="32">
        <f t="shared" si="4"/>
        <v>90909.090909090912</v>
      </c>
      <c r="AB9" s="32">
        <f t="shared" si="5"/>
        <v>2818181.8181818184</v>
      </c>
      <c r="AC9" s="32">
        <f t="shared" si="6"/>
        <v>256922.4299385394</v>
      </c>
    </row>
    <row r="10" spans="1:29" x14ac:dyDescent="0.25">
      <c r="A10" s="29" t="str">
        <f>'Caroni '!A10</f>
        <v>Aug 31st</v>
      </c>
      <c r="B10" s="106">
        <v>237</v>
      </c>
      <c r="C10" s="156">
        <v>20</v>
      </c>
      <c r="D10" s="158">
        <v>10</v>
      </c>
      <c r="E10" s="84">
        <f t="shared" ref="E10" si="22">V11</f>
        <v>304.26247710472097</v>
      </c>
      <c r="F10" s="82">
        <f t="shared" ref="F10" si="23">(T11/$B$78)*100</f>
        <v>69.328633039262243</v>
      </c>
      <c r="G10" s="4">
        <f t="shared" ref="G10" si="24">(T11*$O$23)/1000000</f>
        <v>2807.8096380901206</v>
      </c>
      <c r="H10" s="32">
        <f t="shared" ref="H10" si="25">(T11-$O$24/$O$23)/(AA10)</f>
        <v>138.64048190450606</v>
      </c>
      <c r="Q10" s="32">
        <f t="shared" si="7"/>
        <v>21.7011</v>
      </c>
      <c r="R10" s="29" t="s">
        <v>11</v>
      </c>
      <c r="S10" s="29">
        <f>'Caroni '!T10</f>
        <v>31</v>
      </c>
      <c r="T10" s="13">
        <f t="shared" si="8"/>
        <v>12154080.810731785</v>
      </c>
      <c r="U10" s="13">
        <f t="shared" si="0"/>
        <v>12762771.082227822</v>
      </c>
      <c r="V10" s="31">
        <f t="shared" si="9"/>
        <v>303.42227301920565</v>
      </c>
      <c r="W10" s="32">
        <f t="shared" si="1"/>
        <v>2242968</v>
      </c>
      <c r="X10" s="32">
        <f t="shared" si="2"/>
        <v>1409090.9090909092</v>
      </c>
      <c r="Y10" s="48">
        <v>3.3967741935483874E-3</v>
      </c>
      <c r="Z10" s="32">
        <f t="shared" si="3"/>
        <v>225186.81941305418</v>
      </c>
      <c r="AA10" s="32">
        <f t="shared" si="4"/>
        <v>90909.090909090912</v>
      </c>
      <c r="AB10" s="32">
        <f t="shared" si="5"/>
        <v>2818181.8181818184</v>
      </c>
      <c r="AC10" s="32">
        <f t="shared" si="6"/>
        <v>608690.27149603656</v>
      </c>
    </row>
    <row r="11" spans="1:29" x14ac:dyDescent="0.25">
      <c r="A11" s="29" t="str">
        <f>'Caroni '!A11</f>
        <v>Sep 30th</v>
      </c>
      <c r="B11" s="106" t="s">
        <v>115</v>
      </c>
      <c r="C11" s="106" t="s">
        <v>115</v>
      </c>
      <c r="D11" s="129" t="s">
        <v>115</v>
      </c>
      <c r="E11" s="84">
        <v>310.2</v>
      </c>
      <c r="F11" s="82">
        <v>92.59</v>
      </c>
      <c r="G11" s="106" t="s">
        <v>115</v>
      </c>
      <c r="H11" s="106" t="s">
        <v>115</v>
      </c>
      <c r="Q11" s="32" t="e">
        <f t="shared" si="7"/>
        <v>#VALUE!</v>
      </c>
      <c r="R11" s="29" t="s">
        <v>12</v>
      </c>
      <c r="S11" s="29">
        <f>'Caroni '!T11</f>
        <v>30</v>
      </c>
      <c r="T11" s="13">
        <f t="shared" si="8"/>
        <v>12762771.082227822</v>
      </c>
      <c r="U11" s="13">
        <f t="shared" si="0"/>
        <v>17044977.272727273</v>
      </c>
      <c r="V11" s="31">
        <f t="shared" si="9"/>
        <v>304.26247710472097</v>
      </c>
      <c r="W11" s="32" t="e">
        <f t="shared" si="1"/>
        <v>#VALUE!</v>
      </c>
      <c r="X11" s="32" t="e">
        <f t="shared" si="2"/>
        <v>#VALUE!</v>
      </c>
      <c r="Y11" s="48">
        <v>3.0533333333333332E-3</v>
      </c>
      <c r="Z11" s="32">
        <f t="shared" si="3"/>
        <v>201631.61310139531</v>
      </c>
      <c r="AA11" s="32" t="e">
        <f t="shared" si="4"/>
        <v>#VALUE!</v>
      </c>
      <c r="AB11" s="32" t="e">
        <f t="shared" si="5"/>
        <v>#VALUE!</v>
      </c>
      <c r="AC11" s="32" t="e">
        <f t="shared" si="6"/>
        <v>#VALUE!</v>
      </c>
    </row>
    <row r="12" spans="1:29" x14ac:dyDescent="0.25">
      <c r="A12" s="29" t="str">
        <f>'Caroni '!A12</f>
        <v>Oct 31st</v>
      </c>
      <c r="B12" s="106" t="s">
        <v>115</v>
      </c>
      <c r="C12" s="106" t="s">
        <v>115</v>
      </c>
      <c r="D12" s="129" t="s">
        <v>115</v>
      </c>
      <c r="E12" s="84">
        <v>311.8</v>
      </c>
      <c r="F12" s="82">
        <v>99.01</v>
      </c>
      <c r="G12" s="106" t="s">
        <v>115</v>
      </c>
      <c r="H12" s="106" t="s">
        <v>115</v>
      </c>
      <c r="Q12" s="32" t="e">
        <f t="shared" si="7"/>
        <v>#VALUE!</v>
      </c>
      <c r="R12" s="29" t="s">
        <v>13</v>
      </c>
      <c r="S12" s="29">
        <f>'Caroni '!T12</f>
        <v>31</v>
      </c>
      <c r="T12" s="13">
        <f t="shared" si="8"/>
        <v>17044977.272727273</v>
      </c>
      <c r="U12" s="13">
        <f t="shared" si="0"/>
        <v>18226840.90909091</v>
      </c>
      <c r="V12" s="31">
        <f t="shared" si="9"/>
        <v>310.2</v>
      </c>
      <c r="W12" s="32" t="e">
        <f t="shared" si="1"/>
        <v>#VALUE!</v>
      </c>
      <c r="X12" s="32" t="e">
        <f t="shared" si="2"/>
        <v>#VALUE!</v>
      </c>
      <c r="Y12" s="48">
        <v>3.1096774193548385E-3</v>
      </c>
      <c r="Z12" s="32">
        <f t="shared" si="3"/>
        <v>248892.68733999989</v>
      </c>
      <c r="AA12" s="32" t="e">
        <f t="shared" si="4"/>
        <v>#VALUE!</v>
      </c>
      <c r="AB12" s="32" t="e">
        <f t="shared" si="5"/>
        <v>#VALUE!</v>
      </c>
      <c r="AC12" s="32" t="e">
        <f t="shared" si="6"/>
        <v>#VALUE!</v>
      </c>
    </row>
    <row r="13" spans="1:29" x14ac:dyDescent="0.25">
      <c r="A13" s="29" t="str">
        <f>'Caroni '!A13</f>
        <v>Nov 30th</v>
      </c>
      <c r="B13" s="106" t="s">
        <v>115</v>
      </c>
      <c r="C13" s="106" t="s">
        <v>115</v>
      </c>
      <c r="D13" s="129" t="s">
        <v>115</v>
      </c>
      <c r="E13" s="84">
        <v>311.7</v>
      </c>
      <c r="F13" s="82">
        <v>98.52</v>
      </c>
      <c r="G13" s="106" t="s">
        <v>115</v>
      </c>
      <c r="H13" s="106" t="s">
        <v>115</v>
      </c>
      <c r="Q13" s="32" t="e">
        <f t="shared" si="7"/>
        <v>#VALUE!</v>
      </c>
      <c r="R13" s="29" t="s">
        <v>14</v>
      </c>
      <c r="S13" s="29">
        <f>'Caroni '!T13</f>
        <v>30</v>
      </c>
      <c r="T13" s="13">
        <f t="shared" si="8"/>
        <v>18226840.90909091</v>
      </c>
      <c r="U13" s="13">
        <f t="shared" si="0"/>
        <v>18136636.363636363</v>
      </c>
      <c r="V13" s="31">
        <f t="shared" si="9"/>
        <v>311.8</v>
      </c>
      <c r="W13" s="32" t="e">
        <f t="shared" si="1"/>
        <v>#VALUE!</v>
      </c>
      <c r="X13" s="32" t="e">
        <f t="shared" si="2"/>
        <v>#VALUE!</v>
      </c>
      <c r="Y13" s="48">
        <v>2.8966666666666667E-3</v>
      </c>
      <c r="Z13" s="32">
        <f t="shared" si="3"/>
        <v>234211.61560500009</v>
      </c>
      <c r="AA13" s="32" t="e">
        <f t="shared" si="4"/>
        <v>#VALUE!</v>
      </c>
      <c r="AB13" s="32" t="e">
        <f t="shared" si="5"/>
        <v>#VALUE!</v>
      </c>
      <c r="AC13" s="32" t="e">
        <f t="shared" si="6"/>
        <v>#VALUE!</v>
      </c>
    </row>
    <row r="14" spans="1:29" x14ac:dyDescent="0.25">
      <c r="A14" s="29" t="str">
        <f>'Caroni '!A14</f>
        <v>Dec 31st</v>
      </c>
      <c r="B14" s="106" t="s">
        <v>115</v>
      </c>
      <c r="C14" s="106" t="s">
        <v>115</v>
      </c>
      <c r="D14" s="129" t="s">
        <v>115</v>
      </c>
      <c r="E14" s="84">
        <v>312</v>
      </c>
      <c r="F14" s="82">
        <v>100</v>
      </c>
      <c r="G14" s="106" t="s">
        <v>115</v>
      </c>
      <c r="H14" s="106" t="s">
        <v>115</v>
      </c>
      <c r="Q14" s="32" t="e">
        <f t="shared" si="7"/>
        <v>#VALUE!</v>
      </c>
      <c r="R14" s="29" t="s">
        <v>3</v>
      </c>
      <c r="S14" s="29">
        <f>'Caroni '!T14</f>
        <v>31</v>
      </c>
      <c r="T14" s="13">
        <f t="shared" si="8"/>
        <v>18136636.363636363</v>
      </c>
      <c r="U14" s="13">
        <f t="shared" si="0"/>
        <v>18409090.90909091</v>
      </c>
      <c r="V14" s="31">
        <f t="shared" si="9"/>
        <v>311.7</v>
      </c>
      <c r="W14" s="32" t="e">
        <f t="shared" si="1"/>
        <v>#VALUE!</v>
      </c>
      <c r="X14" s="32" t="e">
        <f t="shared" si="2"/>
        <v>#VALUE!</v>
      </c>
      <c r="Y14" s="48">
        <v>2.8741935483870967E-3</v>
      </c>
      <c r="Z14" s="32">
        <f t="shared" si="3"/>
        <v>239419.87937999988</v>
      </c>
      <c r="AA14" s="32" t="e">
        <f t="shared" si="4"/>
        <v>#VALUE!</v>
      </c>
      <c r="AB14" s="32" t="e">
        <f t="shared" si="5"/>
        <v>#VALUE!</v>
      </c>
      <c r="AC14" s="32" t="e">
        <f t="shared" si="6"/>
        <v>#VALUE!</v>
      </c>
    </row>
    <row r="15" spans="1:29" x14ac:dyDescent="0.25">
      <c r="B15" s="59" t="s">
        <v>126</v>
      </c>
      <c r="C15" s="12">
        <v>20</v>
      </c>
      <c r="D15" s="60"/>
      <c r="E15" s="12"/>
      <c r="F15" s="58"/>
      <c r="G15" s="58"/>
      <c r="H15" s="58"/>
      <c r="Q15" s="6">
        <v>25</v>
      </c>
      <c r="S15" s="9"/>
      <c r="T15" s="12"/>
      <c r="U15" s="12"/>
      <c r="V15" s="56"/>
      <c r="W15" s="12"/>
      <c r="X15" s="12"/>
      <c r="Y15" s="12"/>
      <c r="Z15" s="12"/>
      <c r="AA15" s="21">
        <f t="shared" si="4"/>
        <v>90909.090909090912</v>
      </c>
      <c r="AC15" s="57"/>
    </row>
    <row r="17" spans="1:31" ht="16.5" thickBot="1" x14ac:dyDescent="0.3">
      <c r="A17" s="229" t="s">
        <v>87</v>
      </c>
      <c r="B17" s="230"/>
      <c r="C17" s="230"/>
      <c r="D17" s="230"/>
      <c r="E17" s="230"/>
      <c r="F17" s="230"/>
      <c r="G17" s="230"/>
      <c r="H17" s="230"/>
      <c r="I17" s="128"/>
      <c r="J17" s="68"/>
      <c r="K17" s="14"/>
      <c r="L17" s="14"/>
      <c r="M17" s="14"/>
      <c r="N17" s="14"/>
      <c r="O17" s="14"/>
      <c r="P17" s="14"/>
      <c r="Q17" s="14"/>
      <c r="AC17" s="103"/>
      <c r="AD17" s="102"/>
      <c r="AE17" s="8"/>
    </row>
    <row r="18" spans="1:31" ht="38.25" x14ac:dyDescent="0.25">
      <c r="A18" s="2" t="s">
        <v>20</v>
      </c>
      <c r="B18" s="39">
        <v>2001</v>
      </c>
      <c r="C18" s="86">
        <v>2017</v>
      </c>
      <c r="D18" s="113">
        <v>2015</v>
      </c>
      <c r="E18" s="2" t="s">
        <v>56</v>
      </c>
      <c r="F18" s="2" t="s">
        <v>57</v>
      </c>
      <c r="G18" s="2" t="s">
        <v>104</v>
      </c>
      <c r="H18" s="113" t="s">
        <v>127</v>
      </c>
      <c r="I18" s="6" t="s">
        <v>142</v>
      </c>
      <c r="K18" s="108"/>
      <c r="L18" s="235" t="s">
        <v>46</v>
      </c>
      <c r="M18" s="236"/>
      <c r="N18" s="236"/>
      <c r="O18" s="237"/>
      <c r="P18" s="108"/>
      <c r="Q18" s="14"/>
      <c r="S18" s="28" t="s">
        <v>0</v>
      </c>
      <c r="T18" s="30" t="s">
        <v>40</v>
      </c>
      <c r="U18" s="30" t="s">
        <v>41</v>
      </c>
      <c r="V18" s="28" t="s">
        <v>42</v>
      </c>
      <c r="W18" s="30" t="s">
        <v>38</v>
      </c>
      <c r="X18" s="30" t="s">
        <v>37</v>
      </c>
      <c r="Y18" s="30" t="s">
        <v>36</v>
      </c>
      <c r="Z18" s="28" t="s">
        <v>33</v>
      </c>
      <c r="AA18" s="30" t="s">
        <v>35</v>
      </c>
      <c r="AB18" s="116" t="s">
        <v>34</v>
      </c>
      <c r="AC18" s="117" t="s">
        <v>10</v>
      </c>
      <c r="AD18" s="12"/>
      <c r="AE18" s="57"/>
    </row>
    <row r="19" spans="1:31" ht="14.25" x14ac:dyDescent="0.2">
      <c r="A19" s="29" t="s">
        <v>47</v>
      </c>
      <c r="B19" s="3">
        <v>309.45999999999998</v>
      </c>
      <c r="C19" s="81">
        <v>311.8</v>
      </c>
      <c r="D19" s="167">
        <v>312</v>
      </c>
      <c r="E19" s="3">
        <v>268</v>
      </c>
      <c r="F19" s="3">
        <v>312</v>
      </c>
      <c r="G19" s="3">
        <v>310.14999999999998</v>
      </c>
      <c r="H19" s="114"/>
      <c r="I19" s="6">
        <v>311.8</v>
      </c>
      <c r="K19" s="14"/>
      <c r="L19" s="36" t="s">
        <v>19</v>
      </c>
      <c r="M19" s="24"/>
      <c r="N19" s="24"/>
      <c r="O19" s="37">
        <v>18200000</v>
      </c>
      <c r="P19" s="14"/>
      <c r="Q19" s="14"/>
      <c r="S19" s="29" t="s">
        <v>4</v>
      </c>
      <c r="T19" s="34">
        <f t="array" ref="T19">INDEX($B$35:$B$78,MATCH(MIN(ABS($B$35:$B$78-T3)),ABS($B$35:$B$78-T3),0))</f>
        <v>18409090.90909091</v>
      </c>
      <c r="U19" s="13">
        <f t="shared" ref="U19:U30" si="26">IF(T3&gt;T19, VLOOKUP(T19,$B$35:$C$78,2)+1, VLOOKUP(T19,$B$35:$C$78,2))</f>
        <v>312</v>
      </c>
      <c r="V19" s="32">
        <f>IF(U19&gt;269,U19-1,269)</f>
        <v>311</v>
      </c>
      <c r="W19" s="13">
        <f t="shared" ref="W19:W30" si="27">VLOOKUP(V19,$A$35:$B$78,2)</f>
        <v>17500000</v>
      </c>
      <c r="X19" s="13">
        <f t="shared" ref="X19:X30" si="28">VLOOKUP(U19,$A$35:$B$78,2)</f>
        <v>18409090.90909091</v>
      </c>
      <c r="Y19" s="33">
        <f t="shared" ref="Y19:Y30" si="29">ROUNDUP(V3,0)</f>
        <v>312</v>
      </c>
      <c r="Z19" s="32">
        <f t="shared" ref="Z19:Z30" si="30">VLOOKUP(Y19,$C$35:$E$78,3)</f>
        <v>2711372.75</v>
      </c>
      <c r="AA19" s="33">
        <f t="shared" ref="AA19:AA30" si="31">ROUNDDOWN(V3,0)</f>
        <v>312</v>
      </c>
      <c r="AB19" s="118">
        <f t="shared" ref="AB19:AB30" si="32">VLOOKUP(AA19,$C$35:$E$78,3)</f>
        <v>2711372.75</v>
      </c>
      <c r="AC19" s="118">
        <f t="shared" ref="AC19:AC30" si="33">((Z19-AB19)*(V3-AA19)+AB19)</f>
        <v>2711372.75</v>
      </c>
      <c r="AD19" s="12"/>
      <c r="AE19" s="57"/>
    </row>
    <row r="20" spans="1:31" x14ac:dyDescent="0.2">
      <c r="A20" s="29" t="s">
        <v>85</v>
      </c>
      <c r="B20" s="3">
        <v>306.33</v>
      </c>
      <c r="C20" s="81">
        <v>311.10000000000002</v>
      </c>
      <c r="D20" s="167">
        <v>309.39999999999998</v>
      </c>
      <c r="E20" s="3">
        <v>268</v>
      </c>
      <c r="F20" s="3">
        <v>312</v>
      </c>
      <c r="G20" s="3">
        <v>309.57</v>
      </c>
      <c r="H20" s="114">
        <f t="shared" ref="H20:H25" si="34">E4</f>
        <v>311.39999999999998</v>
      </c>
      <c r="I20" s="6">
        <v>311.39999999999998</v>
      </c>
      <c r="K20" s="14"/>
      <c r="L20" s="35" t="s">
        <v>1</v>
      </c>
      <c r="M20" s="22"/>
      <c r="N20" s="22"/>
      <c r="O20" s="37">
        <v>0.52</v>
      </c>
      <c r="P20" s="14"/>
      <c r="Q20" s="14"/>
      <c r="S20" s="29" t="s">
        <v>5</v>
      </c>
      <c r="T20" s="34">
        <f t="array" ref="T20">INDEX($B$35:$B$78,MATCH(MIN(ABS($B$35:$B$78-T4)),ABS($B$35:$B$78-T4),0))</f>
        <v>18409090.90909091</v>
      </c>
      <c r="U20" s="13">
        <f t="shared" si="26"/>
        <v>312</v>
      </c>
      <c r="V20" s="32">
        <f t="shared" ref="V20:V30" si="35">IF(U20&gt;269,U20-1,269)</f>
        <v>311</v>
      </c>
      <c r="W20" s="13">
        <f t="shared" si="27"/>
        <v>17500000</v>
      </c>
      <c r="X20" s="13">
        <f t="shared" si="28"/>
        <v>18409090.90909091</v>
      </c>
      <c r="Y20" s="33">
        <f t="shared" si="29"/>
        <v>312</v>
      </c>
      <c r="Z20" s="32">
        <f t="shared" si="30"/>
        <v>2711372.75</v>
      </c>
      <c r="AA20" s="33">
        <f t="shared" si="31"/>
        <v>311</v>
      </c>
      <c r="AB20" s="118">
        <f t="shared" si="32"/>
        <v>2630436.25</v>
      </c>
      <c r="AC20" s="118">
        <f t="shared" si="33"/>
        <v>2695185.4500000011</v>
      </c>
      <c r="AD20" s="12"/>
      <c r="AE20" s="57"/>
    </row>
    <row r="21" spans="1:31" ht="14.25" x14ac:dyDescent="0.2">
      <c r="A21" s="29" t="s">
        <v>86</v>
      </c>
      <c r="B21" s="3">
        <v>301.33999999999997</v>
      </c>
      <c r="C21" s="81">
        <v>307.5</v>
      </c>
      <c r="D21" s="166">
        <v>306.39999999999998</v>
      </c>
      <c r="E21" s="3">
        <v>268</v>
      </c>
      <c r="F21" s="3">
        <v>312</v>
      </c>
      <c r="G21" s="3">
        <v>304.64999999999998</v>
      </c>
      <c r="H21" s="114">
        <f t="shared" si="34"/>
        <v>307.9822938305295</v>
      </c>
      <c r="K21" s="14"/>
      <c r="L21" s="35" t="s">
        <v>62</v>
      </c>
      <c r="M21" s="22"/>
      <c r="N21" s="22"/>
      <c r="O21" s="119">
        <v>18409090.90909091</v>
      </c>
      <c r="P21" s="14"/>
      <c r="Q21" s="14"/>
      <c r="S21" s="29" t="s">
        <v>6</v>
      </c>
      <c r="T21" s="34">
        <f t="array" ref="T21">INDEX($B$35:$B$78,MATCH(MIN(ABS($B$35:$B$78-T5)),ABS($B$35:$B$78-T5),0))</f>
        <v>17500000</v>
      </c>
      <c r="U21" s="13">
        <f t="shared" si="26"/>
        <v>312</v>
      </c>
      <c r="V21" s="32">
        <f t="shared" si="35"/>
        <v>311</v>
      </c>
      <c r="W21" s="13">
        <f t="shared" si="27"/>
        <v>17500000</v>
      </c>
      <c r="X21" s="13">
        <f t="shared" si="28"/>
        <v>18409090.90909091</v>
      </c>
      <c r="Y21" s="33">
        <f t="shared" si="29"/>
        <v>312</v>
      </c>
      <c r="Z21" s="32">
        <f t="shared" si="30"/>
        <v>2711372.75</v>
      </c>
      <c r="AA21" s="33">
        <f t="shared" si="31"/>
        <v>311</v>
      </c>
      <c r="AB21" s="118">
        <f t="shared" si="32"/>
        <v>2630436.25</v>
      </c>
      <c r="AC21" s="118">
        <f t="shared" si="33"/>
        <v>2662810.8499999982</v>
      </c>
      <c r="AD21" s="12"/>
      <c r="AE21" s="57"/>
    </row>
    <row r="22" spans="1:31" x14ac:dyDescent="0.2">
      <c r="A22" s="29" t="s">
        <v>48</v>
      </c>
      <c r="B22" s="3">
        <v>295.92</v>
      </c>
      <c r="C22" s="81">
        <v>302.89999999999998</v>
      </c>
      <c r="D22" s="167">
        <v>301.89999999999998</v>
      </c>
      <c r="E22" s="3">
        <v>268</v>
      </c>
      <c r="F22" s="3">
        <v>312</v>
      </c>
      <c r="G22" s="3">
        <v>300.70517241379315</v>
      </c>
      <c r="H22" s="114">
        <f t="shared" si="34"/>
        <v>304.49747333940672</v>
      </c>
      <c r="K22" s="14"/>
      <c r="L22" s="35" t="s">
        <v>45</v>
      </c>
      <c r="M22" s="22"/>
      <c r="N22" s="22"/>
      <c r="O22" s="38">
        <v>268</v>
      </c>
      <c r="P22" s="14"/>
      <c r="Q22" s="14"/>
      <c r="S22" s="29" t="s">
        <v>7</v>
      </c>
      <c r="T22" s="34">
        <f t="array" ref="T22">INDEX($B$35:$B$78,MATCH(MIN(ABS($B$35:$B$78-T6)),ABS($B$35:$B$78-T6),0))</f>
        <v>15454545.454545455</v>
      </c>
      <c r="U22" s="13">
        <f t="shared" si="26"/>
        <v>308</v>
      </c>
      <c r="V22" s="32">
        <f t="shared" si="35"/>
        <v>307</v>
      </c>
      <c r="W22" s="13">
        <f t="shared" si="27"/>
        <v>14545454.545454545</v>
      </c>
      <c r="X22" s="13">
        <f t="shared" si="28"/>
        <v>15454545.454545455</v>
      </c>
      <c r="Y22" s="33">
        <f t="shared" si="29"/>
        <v>308</v>
      </c>
      <c r="Z22" s="32">
        <f t="shared" si="30"/>
        <v>2428095</v>
      </c>
      <c r="AA22" s="33">
        <f t="shared" si="31"/>
        <v>307</v>
      </c>
      <c r="AB22" s="118">
        <f t="shared" si="32"/>
        <v>2367392.625</v>
      </c>
      <c r="AC22" s="118">
        <f t="shared" si="33"/>
        <v>2427020.1934609883</v>
      </c>
      <c r="AD22" s="12"/>
      <c r="AE22" s="57"/>
    </row>
    <row r="23" spans="1:31" x14ac:dyDescent="0.2">
      <c r="A23" s="29" t="s">
        <v>2</v>
      </c>
      <c r="B23" s="3">
        <v>289</v>
      </c>
      <c r="C23" s="81">
        <v>298.10000000000002</v>
      </c>
      <c r="D23" s="167">
        <v>296.39999999999998</v>
      </c>
      <c r="E23" s="3">
        <v>268</v>
      </c>
      <c r="F23" s="3">
        <v>312</v>
      </c>
      <c r="G23" s="3">
        <v>297.19</v>
      </c>
      <c r="H23" s="114">
        <f t="shared" si="34"/>
        <v>300.91772226058657</v>
      </c>
      <c r="K23" s="18"/>
      <c r="L23" s="35" t="s">
        <v>84</v>
      </c>
      <c r="M23" s="22"/>
      <c r="N23" s="22"/>
      <c r="O23" s="49">
        <v>220</v>
      </c>
      <c r="P23" s="18"/>
      <c r="Q23" s="14"/>
      <c r="S23" s="29" t="s">
        <v>2</v>
      </c>
      <c r="T23" s="34">
        <f t="array" ref="T23">INDEX($B$35:$B$78,MATCH(MIN(ABS($B$35:$B$78-T7)),ABS($B$35:$B$78-T7),0))</f>
        <v>12613636.363636363</v>
      </c>
      <c r="U23" s="13">
        <f t="shared" si="26"/>
        <v>305</v>
      </c>
      <c r="V23" s="32">
        <f t="shared" si="35"/>
        <v>304</v>
      </c>
      <c r="W23" s="13">
        <f t="shared" si="27"/>
        <v>12613636.363636363</v>
      </c>
      <c r="X23" s="13">
        <f t="shared" si="28"/>
        <v>13181818.181818182</v>
      </c>
      <c r="Y23" s="33">
        <f t="shared" si="29"/>
        <v>305</v>
      </c>
      <c r="Z23" s="32">
        <f t="shared" si="30"/>
        <v>2245987.875</v>
      </c>
      <c r="AA23" s="33">
        <f t="shared" si="31"/>
        <v>304</v>
      </c>
      <c r="AB23" s="118">
        <f t="shared" si="32"/>
        <v>2185285.5</v>
      </c>
      <c r="AC23" s="118">
        <f t="shared" si="33"/>
        <v>2215483.3132011695</v>
      </c>
      <c r="AD23" s="12"/>
      <c r="AE23" s="57"/>
    </row>
    <row r="24" spans="1:31" ht="13.5" thickBot="1" x14ac:dyDescent="0.25">
      <c r="A24" s="29" t="s">
        <v>49</v>
      </c>
      <c r="B24" s="3">
        <v>285.75</v>
      </c>
      <c r="C24" s="81">
        <v>303.39999999999998</v>
      </c>
      <c r="D24" s="166">
        <v>295.89999999999998</v>
      </c>
      <c r="E24" s="3">
        <v>268</v>
      </c>
      <c r="F24" s="3">
        <v>312</v>
      </c>
      <c r="G24" s="3">
        <v>297.85000000000002</v>
      </c>
      <c r="H24" s="114">
        <f t="shared" si="34"/>
        <v>303.09928482156863</v>
      </c>
      <c r="K24" s="14"/>
      <c r="L24" s="50" t="s">
        <v>74</v>
      </c>
      <c r="M24" s="51"/>
      <c r="N24" s="51"/>
      <c r="O24" s="52">
        <v>35000000</v>
      </c>
      <c r="P24" s="14"/>
      <c r="Q24" s="19"/>
      <c r="S24" s="29" t="s">
        <v>8</v>
      </c>
      <c r="T24" s="34">
        <f t="array" ref="T24">INDEX($B$35:$B$78,MATCH(MIN(ABS($B$35:$B$78-T8)),ABS($B$35:$B$78-T8),0))</f>
        <v>10681818.181818182</v>
      </c>
      <c r="U24" s="13">
        <f t="shared" si="26"/>
        <v>301</v>
      </c>
      <c r="V24" s="32">
        <f t="shared" si="35"/>
        <v>300</v>
      </c>
      <c r="W24" s="13">
        <f t="shared" si="27"/>
        <v>10227272.727272727</v>
      </c>
      <c r="X24" s="13">
        <f t="shared" si="28"/>
        <v>10681818.181818182</v>
      </c>
      <c r="Y24" s="33">
        <f t="shared" si="29"/>
        <v>301</v>
      </c>
      <c r="Z24" s="32">
        <f t="shared" si="30"/>
        <v>1982944.25</v>
      </c>
      <c r="AA24" s="33">
        <f t="shared" si="31"/>
        <v>300</v>
      </c>
      <c r="AB24" s="118">
        <f t="shared" si="32"/>
        <v>1922241.875</v>
      </c>
      <c r="AC24" s="118">
        <f t="shared" si="33"/>
        <v>1977949.7958079739</v>
      </c>
      <c r="AD24" s="12"/>
      <c r="AE24" s="57"/>
    </row>
    <row r="25" spans="1:31" x14ac:dyDescent="0.2">
      <c r="A25" s="29" t="s">
        <v>50</v>
      </c>
      <c r="B25" s="3">
        <v>287.75</v>
      </c>
      <c r="C25" s="81">
        <v>302.7</v>
      </c>
      <c r="D25" s="167">
        <v>300.89999999999998</v>
      </c>
      <c r="E25" s="3">
        <v>268</v>
      </c>
      <c r="F25" s="3">
        <v>312</v>
      </c>
      <c r="G25" s="3">
        <v>301.21758620689656</v>
      </c>
      <c r="H25" s="114">
        <f t="shared" si="34"/>
        <v>303.42227301920565</v>
      </c>
      <c r="K25" s="14"/>
      <c r="L25" s="14"/>
      <c r="M25" s="14"/>
      <c r="N25" s="14"/>
      <c r="O25" s="14"/>
      <c r="P25" s="14"/>
      <c r="Q25" s="14"/>
      <c r="S25" s="29" t="s">
        <v>9</v>
      </c>
      <c r="T25" s="34">
        <f t="array" ref="T25">INDEX($B$35:$B$78,MATCH(MIN(ABS($B$35:$B$78-T9)),ABS($B$35:$B$78-T9),0))</f>
        <v>11818181.818181818</v>
      </c>
      <c r="U25" s="13">
        <f t="shared" si="26"/>
        <v>304</v>
      </c>
      <c r="V25" s="32">
        <f t="shared" si="35"/>
        <v>303</v>
      </c>
      <c r="W25" s="13">
        <f t="shared" si="27"/>
        <v>11818181.818181818</v>
      </c>
      <c r="X25" s="13">
        <f t="shared" si="28"/>
        <v>12613636.363636363</v>
      </c>
      <c r="Y25" s="33">
        <f t="shared" si="29"/>
        <v>304</v>
      </c>
      <c r="Z25" s="32">
        <f t="shared" si="30"/>
        <v>2185285.5</v>
      </c>
      <c r="AA25" s="33">
        <f t="shared" si="31"/>
        <v>303</v>
      </c>
      <c r="AB25" s="118">
        <f t="shared" si="32"/>
        <v>2104349</v>
      </c>
      <c r="AC25" s="118">
        <f t="shared" si="33"/>
        <v>2112384.7659608894</v>
      </c>
      <c r="AD25" s="12"/>
      <c r="AE25" s="57"/>
    </row>
    <row r="26" spans="1:31" x14ac:dyDescent="0.2">
      <c r="A26" s="29" t="s">
        <v>51</v>
      </c>
      <c r="B26" s="3">
        <v>290.17</v>
      </c>
      <c r="C26" s="81">
        <v>307.60000000000002</v>
      </c>
      <c r="D26" s="166">
        <v>300.3</v>
      </c>
      <c r="E26" s="3">
        <v>268</v>
      </c>
      <c r="F26" s="3">
        <v>312</v>
      </c>
      <c r="G26" s="3">
        <v>304.16000000000003</v>
      </c>
      <c r="H26" s="114"/>
      <c r="K26" s="14"/>
      <c r="L26" s="14"/>
      <c r="M26" s="14"/>
      <c r="N26" s="14"/>
      <c r="O26" s="14"/>
      <c r="P26" s="14"/>
      <c r="Q26" s="14"/>
      <c r="S26" s="29" t="s">
        <v>11</v>
      </c>
      <c r="T26" s="34">
        <f t="array" ref="T26">INDEX($B$35:$B$78,MATCH(MIN(ABS($B$35:$B$78-T10)),ABS($B$35:$B$78-T10),0))</f>
        <v>11818181.818181818</v>
      </c>
      <c r="U26" s="13">
        <f t="shared" si="26"/>
        <v>304</v>
      </c>
      <c r="V26" s="32">
        <f t="shared" si="35"/>
        <v>303</v>
      </c>
      <c r="W26" s="13">
        <f t="shared" si="27"/>
        <v>11818181.818181818</v>
      </c>
      <c r="X26" s="13">
        <f t="shared" si="28"/>
        <v>12613636.363636363</v>
      </c>
      <c r="Y26" s="33">
        <f t="shared" si="29"/>
        <v>304</v>
      </c>
      <c r="Z26" s="32">
        <f t="shared" si="30"/>
        <v>2185285.5</v>
      </c>
      <c r="AA26" s="33">
        <f t="shared" si="31"/>
        <v>303</v>
      </c>
      <c r="AB26" s="118">
        <f t="shared" si="32"/>
        <v>2104349</v>
      </c>
      <c r="AC26" s="118">
        <f t="shared" si="33"/>
        <v>2138526.3002189379</v>
      </c>
      <c r="AD26" s="12"/>
      <c r="AE26" s="57"/>
    </row>
    <row r="27" spans="1:31" x14ac:dyDescent="0.2">
      <c r="A27" s="29" t="s">
        <v>52</v>
      </c>
      <c r="B27" s="3">
        <v>294</v>
      </c>
      <c r="C27" s="81">
        <v>310.2</v>
      </c>
      <c r="D27" s="159">
        <v>299.39999999999998</v>
      </c>
      <c r="E27" s="3">
        <v>268</v>
      </c>
      <c r="F27" s="3">
        <v>312</v>
      </c>
      <c r="G27" s="3">
        <v>305.5</v>
      </c>
      <c r="H27" s="114"/>
      <c r="K27" s="108"/>
      <c r="L27" s="108"/>
      <c r="M27" s="108"/>
      <c r="N27" s="108"/>
      <c r="O27" s="108"/>
      <c r="P27" s="108"/>
      <c r="Q27" s="14"/>
      <c r="S27" s="29" t="s">
        <v>12</v>
      </c>
      <c r="T27" s="34">
        <f t="array" ref="T27">INDEX($B$35:$B$78,MATCH(MIN(ABS($B$35:$B$78-T11)),ABS($B$35:$B$78-T11),0))</f>
        <v>12613636.363636363</v>
      </c>
      <c r="U27" s="13">
        <f t="shared" si="26"/>
        <v>305</v>
      </c>
      <c r="V27" s="32">
        <f t="shared" si="35"/>
        <v>304</v>
      </c>
      <c r="W27" s="13">
        <f t="shared" si="27"/>
        <v>12613636.363636363</v>
      </c>
      <c r="X27" s="13">
        <f t="shared" si="28"/>
        <v>13181818.181818182</v>
      </c>
      <c r="Y27" s="33">
        <f t="shared" si="29"/>
        <v>305</v>
      </c>
      <c r="Z27" s="32">
        <f t="shared" si="30"/>
        <v>2245987.875</v>
      </c>
      <c r="AA27" s="33">
        <f t="shared" si="31"/>
        <v>304</v>
      </c>
      <c r="AB27" s="118">
        <f t="shared" si="32"/>
        <v>2185285.5</v>
      </c>
      <c r="AC27" s="118">
        <f t="shared" si="33"/>
        <v>2201218.4836396868</v>
      </c>
      <c r="AD27" s="12"/>
      <c r="AE27" s="57"/>
    </row>
    <row r="28" spans="1:31" x14ac:dyDescent="0.2">
      <c r="A28" s="29" t="s">
        <v>53</v>
      </c>
      <c r="B28" s="3">
        <v>292.92</v>
      </c>
      <c r="C28" s="81">
        <v>311.8</v>
      </c>
      <c r="D28" s="159">
        <v>296.89999999999998</v>
      </c>
      <c r="E28" s="3">
        <v>268</v>
      </c>
      <c r="F28" s="3">
        <v>312</v>
      </c>
      <c r="G28" s="3">
        <v>307.11103448275867</v>
      </c>
      <c r="H28" s="114"/>
      <c r="K28" s="14"/>
      <c r="L28" s="14"/>
      <c r="M28" s="14"/>
      <c r="N28" s="14"/>
      <c r="O28" s="14"/>
      <c r="P28" s="14"/>
      <c r="Q28" s="14"/>
      <c r="S28" s="29" t="s">
        <v>13</v>
      </c>
      <c r="T28" s="34">
        <f t="array" ref="T28">INDEX($B$35:$B$78,MATCH(MIN(ABS($B$35:$B$78-T12)),ABS($B$35:$B$78-T12),0))</f>
        <v>16931818.181818184</v>
      </c>
      <c r="U28" s="13">
        <f t="shared" si="26"/>
        <v>311</v>
      </c>
      <c r="V28" s="32">
        <f t="shared" si="35"/>
        <v>310</v>
      </c>
      <c r="W28" s="13">
        <f t="shared" si="27"/>
        <v>16931818.181818184</v>
      </c>
      <c r="X28" s="13">
        <f t="shared" si="28"/>
        <v>17500000</v>
      </c>
      <c r="Y28" s="33">
        <f t="shared" si="29"/>
        <v>311</v>
      </c>
      <c r="Z28" s="32">
        <f t="shared" si="30"/>
        <v>2630436.25</v>
      </c>
      <c r="AA28" s="33">
        <f t="shared" si="31"/>
        <v>310</v>
      </c>
      <c r="AB28" s="118">
        <f t="shared" si="32"/>
        <v>2569733.875</v>
      </c>
      <c r="AC28" s="118">
        <f t="shared" si="33"/>
        <v>2581874.3499999992</v>
      </c>
      <c r="AD28" s="12"/>
      <c r="AE28" s="57"/>
    </row>
    <row r="29" spans="1:31" x14ac:dyDescent="0.2">
      <c r="A29" s="29" t="s">
        <v>54</v>
      </c>
      <c r="B29" s="3">
        <v>288.33</v>
      </c>
      <c r="C29" s="81">
        <v>311.7</v>
      </c>
      <c r="D29" s="159">
        <v>306</v>
      </c>
      <c r="E29" s="3">
        <v>268</v>
      </c>
      <c r="F29" s="3">
        <v>312</v>
      </c>
      <c r="G29" s="3">
        <v>307.27</v>
      </c>
      <c r="H29" s="114"/>
      <c r="K29" s="14"/>
      <c r="L29" s="14"/>
      <c r="M29" s="14"/>
      <c r="N29" s="14"/>
      <c r="O29" s="14"/>
      <c r="P29" s="14"/>
      <c r="Q29" s="14"/>
      <c r="S29" s="29" t="s">
        <v>14</v>
      </c>
      <c r="T29" s="34">
        <f t="array" ref="T29">INDEX($B$35:$B$78,MATCH(MIN(ABS($B$35:$B$78-T13)),ABS($B$35:$B$78-T13),0))</f>
        <v>18409090.90909091</v>
      </c>
      <c r="U29" s="13">
        <f t="shared" si="26"/>
        <v>312</v>
      </c>
      <c r="V29" s="32">
        <f t="shared" si="35"/>
        <v>311</v>
      </c>
      <c r="W29" s="13">
        <f t="shared" si="27"/>
        <v>17500000</v>
      </c>
      <c r="X29" s="13">
        <f t="shared" si="28"/>
        <v>18409090.90909091</v>
      </c>
      <c r="Y29" s="33">
        <f t="shared" si="29"/>
        <v>312</v>
      </c>
      <c r="Z29" s="32">
        <f t="shared" si="30"/>
        <v>2711372.75</v>
      </c>
      <c r="AA29" s="33">
        <f t="shared" si="31"/>
        <v>311</v>
      </c>
      <c r="AB29" s="118">
        <f t="shared" si="32"/>
        <v>2630436.25</v>
      </c>
      <c r="AC29" s="118">
        <f t="shared" si="33"/>
        <v>2695185.4500000011</v>
      </c>
      <c r="AD29" s="12"/>
      <c r="AE29" s="57"/>
    </row>
    <row r="30" spans="1:31" x14ac:dyDescent="0.2">
      <c r="A30" s="29" t="s">
        <v>55</v>
      </c>
      <c r="B30" s="3">
        <v>301</v>
      </c>
      <c r="C30" s="81">
        <v>312</v>
      </c>
      <c r="D30" s="159">
        <v>312.39999999999998</v>
      </c>
      <c r="E30" s="3">
        <v>268</v>
      </c>
      <c r="F30" s="3">
        <v>312</v>
      </c>
      <c r="G30" s="3">
        <v>310.66000000000003</v>
      </c>
      <c r="H30" s="114"/>
      <c r="K30" s="14"/>
      <c r="L30" s="14"/>
      <c r="M30" s="14"/>
      <c r="N30" s="14"/>
      <c r="O30" s="14"/>
      <c r="P30" s="14"/>
      <c r="Q30" s="14"/>
      <c r="S30" s="29" t="s">
        <v>3</v>
      </c>
      <c r="T30" s="34">
        <f t="array" ref="T30">INDEX($B$35:$B$78,MATCH(MIN(ABS($B$35:$B$78-T14)),ABS($B$35:$B$78-T14),0))</f>
        <v>18409090.90909091</v>
      </c>
      <c r="U30" s="13">
        <f t="shared" si="26"/>
        <v>312</v>
      </c>
      <c r="V30" s="32">
        <f t="shared" si="35"/>
        <v>311</v>
      </c>
      <c r="W30" s="13">
        <f t="shared" si="27"/>
        <v>17500000</v>
      </c>
      <c r="X30" s="13">
        <f t="shared" si="28"/>
        <v>18409090.90909091</v>
      </c>
      <c r="Y30" s="33">
        <f t="shared" si="29"/>
        <v>312</v>
      </c>
      <c r="Z30" s="32">
        <f t="shared" si="30"/>
        <v>2711372.75</v>
      </c>
      <c r="AA30" s="33">
        <f t="shared" si="31"/>
        <v>311</v>
      </c>
      <c r="AB30" s="118">
        <f t="shared" si="32"/>
        <v>2630436.25</v>
      </c>
      <c r="AC30" s="118">
        <f t="shared" si="33"/>
        <v>2687091.7999999989</v>
      </c>
      <c r="AD30" s="17"/>
    </row>
    <row r="31" spans="1:31" x14ac:dyDescent="0.25">
      <c r="A31" s="14"/>
      <c r="B31" s="16"/>
      <c r="C31" s="14"/>
      <c r="D31" s="14"/>
      <c r="E31" s="14"/>
      <c r="F31" s="14"/>
      <c r="G31" s="16"/>
      <c r="H31" s="61"/>
      <c r="I31" s="14"/>
      <c r="J31" s="14"/>
      <c r="K31" s="14"/>
      <c r="L31" s="14"/>
      <c r="M31" s="14"/>
      <c r="N31" s="14"/>
      <c r="O31" s="14"/>
      <c r="P31" s="14"/>
      <c r="Q31" s="14"/>
      <c r="X31" s="20"/>
      <c r="Y31" s="14"/>
      <c r="Z31" s="15"/>
      <c r="AA31" s="15"/>
      <c r="AB31" s="14"/>
      <c r="AC31" s="14"/>
      <c r="AD31" s="16"/>
    </row>
    <row r="32" spans="1:31" s="45" customFormat="1" ht="15" x14ac:dyDescent="0.25">
      <c r="A32" s="47"/>
      <c r="B32" s="46"/>
      <c r="C32" s="46"/>
      <c r="D32" s="47"/>
      <c r="E32" s="46"/>
      <c r="F32" s="47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7"/>
    </row>
    <row r="33" spans="1:17" ht="15.75" x14ac:dyDescent="0.25">
      <c r="A33" s="231" t="s">
        <v>59</v>
      </c>
      <c r="B33" s="232"/>
      <c r="C33" s="232"/>
      <c r="D33" s="232"/>
      <c r="E33" s="233"/>
      <c r="F33" s="19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9"/>
    </row>
    <row r="34" spans="1:17" ht="14.25" x14ac:dyDescent="0.25">
      <c r="A34" s="25" t="s">
        <v>23</v>
      </c>
      <c r="B34" s="25" t="s">
        <v>24</v>
      </c>
      <c r="C34" s="25" t="s">
        <v>23</v>
      </c>
      <c r="D34" s="25" t="s">
        <v>70</v>
      </c>
      <c r="E34" s="25" t="s">
        <v>30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</row>
    <row r="35" spans="1:17" x14ac:dyDescent="0.25">
      <c r="A35" s="97">
        <v>269</v>
      </c>
      <c r="B35" s="98">
        <v>113636.36363636363</v>
      </c>
      <c r="C35" s="97">
        <v>269</v>
      </c>
      <c r="D35" s="99">
        <v>0.83950617283950613</v>
      </c>
      <c r="E35" s="13">
        <v>303511.875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</row>
    <row r="36" spans="1:17" x14ac:dyDescent="0.25">
      <c r="A36" s="97">
        <v>270</v>
      </c>
      <c r="B36" s="98">
        <v>227272.72727272726</v>
      </c>
      <c r="C36" s="97">
        <v>270</v>
      </c>
      <c r="D36" s="99">
        <v>1.4567901234567902</v>
      </c>
      <c r="E36" s="13">
        <v>343980.125</v>
      </c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x14ac:dyDescent="0.25">
      <c r="A37" s="97">
        <v>271</v>
      </c>
      <c r="B37" s="98">
        <v>340909.09090909088</v>
      </c>
      <c r="C37" s="97">
        <v>271</v>
      </c>
      <c r="D37" s="99">
        <v>2.074074074074074</v>
      </c>
      <c r="E37" s="13">
        <v>384448.375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9"/>
    </row>
    <row r="38" spans="1:17" x14ac:dyDescent="0.25">
      <c r="A38" s="97">
        <v>272</v>
      </c>
      <c r="B38" s="98">
        <v>454545.45454545453</v>
      </c>
      <c r="C38" s="97">
        <v>272</v>
      </c>
      <c r="D38" s="99">
        <v>2.691358024691358</v>
      </c>
      <c r="E38" s="13">
        <v>445150.75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9"/>
    </row>
    <row r="39" spans="1:17" ht="15.75" x14ac:dyDescent="0.25">
      <c r="A39" s="97">
        <v>273</v>
      </c>
      <c r="B39" s="98">
        <v>568181.81818181823</v>
      </c>
      <c r="C39" s="97">
        <v>273</v>
      </c>
      <c r="D39" s="99">
        <v>3.308641975308642</v>
      </c>
      <c r="E39" s="13">
        <v>485619</v>
      </c>
      <c r="K39" s="68"/>
      <c r="L39" s="68"/>
      <c r="M39" s="68"/>
      <c r="N39" s="68"/>
      <c r="O39" s="68"/>
      <c r="P39" s="68"/>
      <c r="Q39" s="19"/>
    </row>
    <row r="40" spans="1:17" x14ac:dyDescent="0.25">
      <c r="A40" s="97">
        <v>274</v>
      </c>
      <c r="B40" s="98">
        <v>681818.18181818177</v>
      </c>
      <c r="C40" s="97">
        <v>274</v>
      </c>
      <c r="D40" s="99">
        <v>4.1481481481481479</v>
      </c>
      <c r="E40" s="13">
        <v>526087.25</v>
      </c>
      <c r="K40" s="11"/>
      <c r="L40" s="11"/>
      <c r="M40" s="11"/>
      <c r="N40" s="11"/>
      <c r="O40" s="11"/>
      <c r="P40" s="11"/>
      <c r="Q40" s="73"/>
    </row>
    <row r="41" spans="1:17" x14ac:dyDescent="0.25">
      <c r="A41" s="97">
        <v>275</v>
      </c>
      <c r="B41" s="98">
        <v>909090.90909090906</v>
      </c>
      <c r="C41" s="97">
        <v>275</v>
      </c>
      <c r="D41" s="99">
        <v>5.382716049382716</v>
      </c>
      <c r="E41" s="13">
        <v>586789.625</v>
      </c>
      <c r="K41" s="109"/>
      <c r="L41" s="109"/>
      <c r="M41" s="109"/>
      <c r="N41" s="109"/>
      <c r="O41" s="109"/>
      <c r="P41" s="109"/>
      <c r="Q41" s="73"/>
    </row>
    <row r="42" spans="1:17" x14ac:dyDescent="0.25">
      <c r="A42" s="97">
        <v>276</v>
      </c>
      <c r="B42" s="98">
        <v>1136363.6363636365</v>
      </c>
      <c r="C42" s="97">
        <v>276</v>
      </c>
      <c r="D42" s="99">
        <v>6.617283950617284</v>
      </c>
      <c r="E42" s="13">
        <v>627257.875</v>
      </c>
      <c r="K42" s="109"/>
      <c r="L42" s="109"/>
      <c r="M42" s="109"/>
      <c r="N42" s="109"/>
      <c r="O42" s="109"/>
      <c r="P42" s="109"/>
      <c r="Q42" s="73"/>
    </row>
    <row r="43" spans="1:17" x14ac:dyDescent="0.25">
      <c r="A43" s="97">
        <v>277</v>
      </c>
      <c r="B43" s="98">
        <v>1363636.3636363635</v>
      </c>
      <c r="C43" s="97">
        <v>277</v>
      </c>
      <c r="D43" s="99">
        <v>7.8518518518518512</v>
      </c>
      <c r="E43" s="13">
        <v>667726.125</v>
      </c>
      <c r="K43" s="109"/>
      <c r="L43" s="109"/>
      <c r="M43" s="109"/>
      <c r="N43" s="109"/>
      <c r="O43" s="109"/>
      <c r="P43" s="109"/>
      <c r="Q43" s="73"/>
    </row>
    <row r="44" spans="1:17" x14ac:dyDescent="0.25">
      <c r="A44" s="97">
        <v>278</v>
      </c>
      <c r="B44" s="98">
        <v>1590909.0909090908</v>
      </c>
      <c r="C44" s="97">
        <v>278</v>
      </c>
      <c r="D44" s="99">
        <v>9.0864197530864192</v>
      </c>
      <c r="E44" s="13">
        <v>728428.5</v>
      </c>
      <c r="K44" s="109"/>
      <c r="L44" s="109"/>
      <c r="M44" s="109"/>
      <c r="N44" s="109"/>
      <c r="O44" s="109"/>
      <c r="P44" s="109"/>
      <c r="Q44" s="73"/>
    </row>
    <row r="45" spans="1:17" x14ac:dyDescent="0.25">
      <c r="A45" s="97">
        <v>279</v>
      </c>
      <c r="B45" s="98">
        <v>1818181.8181818181</v>
      </c>
      <c r="C45" s="97">
        <v>279</v>
      </c>
      <c r="D45" s="99">
        <v>10.320987654320987</v>
      </c>
      <c r="E45" s="13">
        <v>768896.75</v>
      </c>
      <c r="K45" s="109"/>
      <c r="L45" s="109"/>
      <c r="M45" s="109"/>
      <c r="N45" s="109"/>
      <c r="O45" s="109"/>
      <c r="P45" s="109"/>
      <c r="Q45" s="73"/>
    </row>
    <row r="46" spans="1:17" x14ac:dyDescent="0.25">
      <c r="A46" s="97">
        <v>280</v>
      </c>
      <c r="B46" s="98">
        <v>2045454.5454545454</v>
      </c>
      <c r="C46" s="97">
        <v>280</v>
      </c>
      <c r="D46" s="99">
        <v>11.555555555555555</v>
      </c>
      <c r="E46" s="13">
        <v>829599.125</v>
      </c>
      <c r="K46" s="109"/>
      <c r="L46" s="109"/>
      <c r="M46" s="109"/>
      <c r="N46" s="109"/>
      <c r="O46" s="109"/>
      <c r="P46" s="109"/>
      <c r="Q46" s="73"/>
    </row>
    <row r="47" spans="1:17" x14ac:dyDescent="0.25">
      <c r="A47" s="97">
        <v>281</v>
      </c>
      <c r="B47" s="98">
        <v>2272727.2727272729</v>
      </c>
      <c r="C47" s="97">
        <v>281</v>
      </c>
      <c r="D47" s="99">
        <v>12.790123456790123</v>
      </c>
      <c r="E47" s="13">
        <v>870067.375</v>
      </c>
      <c r="K47" s="109"/>
      <c r="L47" s="109"/>
      <c r="M47" s="109"/>
      <c r="N47" s="109"/>
      <c r="O47" s="109"/>
      <c r="P47" s="109"/>
      <c r="Q47" s="73"/>
    </row>
    <row r="48" spans="1:17" x14ac:dyDescent="0.25">
      <c r="A48" s="97">
        <v>282</v>
      </c>
      <c r="B48" s="98">
        <v>2500000</v>
      </c>
      <c r="C48" s="97">
        <v>282</v>
      </c>
      <c r="D48" s="99">
        <v>14.024691358024691</v>
      </c>
      <c r="E48" s="13">
        <v>930769.75</v>
      </c>
      <c r="K48" s="109"/>
      <c r="L48" s="109"/>
      <c r="M48" s="109"/>
      <c r="N48" s="109"/>
      <c r="O48" s="109"/>
      <c r="P48" s="109"/>
      <c r="Q48" s="73"/>
    </row>
    <row r="49" spans="1:17" x14ac:dyDescent="0.25">
      <c r="A49" s="97">
        <v>283</v>
      </c>
      <c r="B49" s="98">
        <v>2727272.7272727271</v>
      </c>
      <c r="C49" s="97">
        <v>283</v>
      </c>
      <c r="D49" s="99">
        <v>15.481481481481483</v>
      </c>
      <c r="E49" s="13">
        <v>971238</v>
      </c>
      <c r="K49" s="109"/>
      <c r="L49" s="109"/>
      <c r="M49" s="109"/>
      <c r="N49" s="109"/>
      <c r="O49" s="109"/>
      <c r="P49" s="109"/>
      <c r="Q49" s="73"/>
    </row>
    <row r="50" spans="1:17" x14ac:dyDescent="0.25">
      <c r="A50" s="97">
        <v>284</v>
      </c>
      <c r="B50" s="98">
        <v>3068181.8181818184</v>
      </c>
      <c r="C50" s="97">
        <v>284</v>
      </c>
      <c r="D50" s="99">
        <v>17.333333333333336</v>
      </c>
      <c r="E50" s="13">
        <v>1031940.375</v>
      </c>
      <c r="K50" s="109"/>
      <c r="L50" s="109"/>
      <c r="M50" s="109"/>
      <c r="N50" s="109"/>
      <c r="O50" s="109"/>
      <c r="P50" s="109"/>
      <c r="Q50" s="73"/>
    </row>
    <row r="51" spans="1:17" x14ac:dyDescent="0.25">
      <c r="A51" s="97">
        <v>285</v>
      </c>
      <c r="B51" s="98">
        <v>3409090.9090909092</v>
      </c>
      <c r="C51" s="97">
        <v>285</v>
      </c>
      <c r="D51" s="99">
        <v>18.962962962962962</v>
      </c>
      <c r="E51" s="13">
        <v>1072408.625</v>
      </c>
      <c r="K51" s="109"/>
      <c r="L51" s="109"/>
      <c r="M51" s="109"/>
      <c r="N51" s="109"/>
      <c r="O51" s="109"/>
      <c r="P51" s="109"/>
      <c r="Q51" s="73"/>
    </row>
    <row r="52" spans="1:17" x14ac:dyDescent="0.25">
      <c r="A52" s="97">
        <v>286</v>
      </c>
      <c r="B52" s="98">
        <v>3636363.6363636362</v>
      </c>
      <c r="C52" s="97">
        <v>286</v>
      </c>
      <c r="D52" s="99">
        <v>20.641975308641975</v>
      </c>
      <c r="E52" s="13">
        <v>1133111</v>
      </c>
      <c r="K52" s="109"/>
      <c r="L52" s="109"/>
      <c r="M52" s="109"/>
      <c r="N52" s="109"/>
      <c r="O52" s="109"/>
      <c r="P52" s="109"/>
      <c r="Q52" s="73"/>
    </row>
    <row r="53" spans="1:17" x14ac:dyDescent="0.25">
      <c r="A53" s="97">
        <v>287</v>
      </c>
      <c r="B53" s="98">
        <v>4090909.0909090908</v>
      </c>
      <c r="C53" s="97">
        <v>287</v>
      </c>
      <c r="D53" s="99">
        <v>22.666666666666664</v>
      </c>
      <c r="E53" s="13">
        <v>1173579.25</v>
      </c>
      <c r="Q53" s="14"/>
    </row>
    <row r="54" spans="1:17" x14ac:dyDescent="0.25">
      <c r="A54" s="97">
        <v>288</v>
      </c>
      <c r="B54" s="98">
        <v>4318181.8181818184</v>
      </c>
      <c r="C54" s="97">
        <v>288</v>
      </c>
      <c r="D54" s="99">
        <v>24.345679012345677</v>
      </c>
      <c r="E54" s="13">
        <v>1234281.625</v>
      </c>
      <c r="Q54" s="14"/>
    </row>
    <row r="55" spans="1:17" x14ac:dyDescent="0.25">
      <c r="A55" s="97">
        <v>289</v>
      </c>
      <c r="B55" s="98">
        <v>4772727.2727272725</v>
      </c>
      <c r="C55" s="97">
        <v>289</v>
      </c>
      <c r="D55" s="99">
        <v>26.814814814814813</v>
      </c>
      <c r="E55" s="13">
        <v>1294984</v>
      </c>
      <c r="Q55" s="14"/>
    </row>
    <row r="56" spans="1:17" x14ac:dyDescent="0.25">
      <c r="A56" s="97">
        <v>290</v>
      </c>
      <c r="B56" s="98">
        <v>5227272.7272727275</v>
      </c>
      <c r="C56" s="97">
        <v>290</v>
      </c>
      <c r="D56" s="99">
        <v>28.839506172839506</v>
      </c>
      <c r="E56" s="13">
        <v>1335452.25</v>
      </c>
      <c r="Q56" s="14"/>
    </row>
    <row r="57" spans="1:17" x14ac:dyDescent="0.25">
      <c r="A57" s="97">
        <v>291</v>
      </c>
      <c r="B57" s="98">
        <v>5454545.4545454541</v>
      </c>
      <c r="C57" s="97">
        <v>291</v>
      </c>
      <c r="D57" s="99">
        <v>30.518518518518515</v>
      </c>
      <c r="E57" s="13">
        <v>1396154.625</v>
      </c>
      <c r="Q57" s="14"/>
    </row>
    <row r="58" spans="1:17" x14ac:dyDescent="0.25">
      <c r="A58" s="97">
        <v>292</v>
      </c>
      <c r="B58" s="98">
        <v>5909090.9090909092</v>
      </c>
      <c r="C58" s="97">
        <v>292</v>
      </c>
      <c r="D58" s="99">
        <v>32.987654320987652</v>
      </c>
      <c r="E58" s="13">
        <v>1456857</v>
      </c>
      <c r="Q58" s="14"/>
    </row>
    <row r="59" spans="1:17" x14ac:dyDescent="0.25">
      <c r="A59" s="97">
        <v>293</v>
      </c>
      <c r="B59" s="98">
        <v>6363636.3636363633</v>
      </c>
      <c r="C59" s="97">
        <v>293</v>
      </c>
      <c r="D59" s="99">
        <v>35.901234567901234</v>
      </c>
      <c r="E59" s="13">
        <v>1517559.375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</row>
    <row r="60" spans="1:17" x14ac:dyDescent="0.25">
      <c r="A60" s="97">
        <v>294</v>
      </c>
      <c r="B60" s="98">
        <v>7045454.5454545459</v>
      </c>
      <c r="C60" s="97">
        <v>294</v>
      </c>
      <c r="D60" s="99">
        <v>39.160493827160494</v>
      </c>
      <c r="E60" s="13">
        <v>1578261.75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</row>
    <row r="61" spans="1:17" x14ac:dyDescent="0.25">
      <c r="A61" s="97">
        <v>295</v>
      </c>
      <c r="B61" s="98">
        <v>7500000</v>
      </c>
      <c r="C61" s="97">
        <v>295</v>
      </c>
      <c r="D61" s="99">
        <v>41.629629629629626</v>
      </c>
      <c r="E61" s="13">
        <v>1618730</v>
      </c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</row>
    <row r="62" spans="1:17" x14ac:dyDescent="0.25">
      <c r="A62" s="97">
        <v>296</v>
      </c>
      <c r="B62" s="98">
        <v>7954545.4545454541</v>
      </c>
      <c r="C62" s="97">
        <v>296</v>
      </c>
      <c r="D62" s="99">
        <v>45.950617283950621</v>
      </c>
      <c r="E62" s="13">
        <v>1679432.375</v>
      </c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</row>
    <row r="63" spans="1:17" x14ac:dyDescent="0.25">
      <c r="A63" s="97">
        <v>297</v>
      </c>
      <c r="B63" s="98">
        <v>8636363.6363636367</v>
      </c>
      <c r="C63" s="97">
        <v>297</v>
      </c>
      <c r="D63" s="99">
        <v>47.802469135802468</v>
      </c>
      <c r="E63" s="13">
        <v>1740134.75</v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</row>
    <row r="64" spans="1:17" x14ac:dyDescent="0.25">
      <c r="A64" s="97">
        <v>298</v>
      </c>
      <c r="B64" s="98">
        <v>9090909.0909090918</v>
      </c>
      <c r="C64" s="97">
        <v>298</v>
      </c>
      <c r="D64" s="99">
        <v>50.271604938271608</v>
      </c>
      <c r="E64" s="13">
        <v>1800837.125</v>
      </c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</row>
    <row r="65" spans="1:17" x14ac:dyDescent="0.25">
      <c r="A65" s="97">
        <v>299</v>
      </c>
      <c r="B65" s="98">
        <v>9545454.5454545449</v>
      </c>
      <c r="C65" s="97">
        <v>299</v>
      </c>
      <c r="D65" s="99">
        <v>53.185185185185176</v>
      </c>
      <c r="E65" s="13">
        <v>1861539.5</v>
      </c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</row>
    <row r="66" spans="1:17" x14ac:dyDescent="0.25">
      <c r="A66" s="97">
        <v>300</v>
      </c>
      <c r="B66" s="98">
        <v>10227272.727272727</v>
      </c>
      <c r="C66" s="97">
        <v>300</v>
      </c>
      <c r="D66" s="99">
        <v>56.444444444444443</v>
      </c>
      <c r="E66" s="13">
        <v>1922241.875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</row>
    <row r="67" spans="1:17" x14ac:dyDescent="0.25">
      <c r="A67" s="97">
        <v>301</v>
      </c>
      <c r="B67" s="98">
        <v>10681818.181818182</v>
      </c>
      <c r="C67" s="97">
        <v>301</v>
      </c>
      <c r="D67" s="99">
        <v>59.358024691358025</v>
      </c>
      <c r="E67" s="13">
        <v>1982944.25</v>
      </c>
    </row>
    <row r="68" spans="1:17" x14ac:dyDescent="0.25">
      <c r="A68" s="97">
        <v>302</v>
      </c>
      <c r="B68" s="98">
        <v>11363636.363636363</v>
      </c>
      <c r="C68" s="97">
        <v>302</v>
      </c>
      <c r="D68" s="99">
        <v>62.617283950617285</v>
      </c>
      <c r="E68" s="32">
        <v>2043646.625</v>
      </c>
    </row>
    <row r="69" spans="1:17" x14ac:dyDescent="0.25">
      <c r="A69" s="97">
        <v>303</v>
      </c>
      <c r="B69" s="98">
        <v>11818181.818181818</v>
      </c>
      <c r="C69" s="97">
        <v>303</v>
      </c>
      <c r="D69" s="99">
        <v>67.438271604938265</v>
      </c>
      <c r="E69" s="32">
        <v>2104349</v>
      </c>
    </row>
    <row r="70" spans="1:17" x14ac:dyDescent="0.25">
      <c r="A70" s="97">
        <v>304</v>
      </c>
      <c r="B70" s="98">
        <v>12613636.363636363</v>
      </c>
      <c r="C70" s="97">
        <v>304</v>
      </c>
      <c r="D70" s="99">
        <v>69.629629629629633</v>
      </c>
      <c r="E70" s="32">
        <v>2185285.5</v>
      </c>
    </row>
    <row r="71" spans="1:17" x14ac:dyDescent="0.25">
      <c r="A71" s="97">
        <v>305</v>
      </c>
      <c r="B71" s="98">
        <v>13181818.181818182</v>
      </c>
      <c r="C71" s="97">
        <v>305</v>
      </c>
      <c r="D71" s="99">
        <v>72.938271604938279</v>
      </c>
      <c r="E71" s="32">
        <v>2245987.875</v>
      </c>
    </row>
    <row r="72" spans="1:17" x14ac:dyDescent="0.25">
      <c r="A72" s="97">
        <v>306</v>
      </c>
      <c r="B72" s="98">
        <v>13863636.363636363</v>
      </c>
      <c r="C72" s="97">
        <v>306</v>
      </c>
      <c r="D72" s="99">
        <v>76.641975308641975</v>
      </c>
      <c r="E72" s="32">
        <v>2306690.25</v>
      </c>
    </row>
    <row r="73" spans="1:17" x14ac:dyDescent="0.25">
      <c r="A73" s="97">
        <v>307</v>
      </c>
      <c r="B73" s="98">
        <v>14545454.545454545</v>
      </c>
      <c r="C73" s="97">
        <v>307</v>
      </c>
      <c r="D73" s="99">
        <v>80.790123456790113</v>
      </c>
      <c r="E73" s="32">
        <v>2367392.625</v>
      </c>
    </row>
    <row r="74" spans="1:17" x14ac:dyDescent="0.25">
      <c r="A74" s="97">
        <v>308</v>
      </c>
      <c r="B74" s="98">
        <v>15454545.454545455</v>
      </c>
      <c r="C74" s="97">
        <v>308</v>
      </c>
      <c r="D74" s="99">
        <v>85.283950617283949</v>
      </c>
      <c r="E74" s="32">
        <v>2428095</v>
      </c>
    </row>
    <row r="75" spans="1:17" x14ac:dyDescent="0.25">
      <c r="A75" s="97">
        <v>309</v>
      </c>
      <c r="B75" s="98">
        <v>16136363.636363637</v>
      </c>
      <c r="C75" s="97">
        <v>309</v>
      </c>
      <c r="D75" s="99">
        <v>89.209876543209873</v>
      </c>
      <c r="E75" s="32">
        <v>2509031.5</v>
      </c>
    </row>
    <row r="76" spans="1:17" x14ac:dyDescent="0.25">
      <c r="A76" s="97">
        <v>310</v>
      </c>
      <c r="B76" s="98">
        <v>16931818.181818184</v>
      </c>
      <c r="C76" s="97">
        <v>310</v>
      </c>
      <c r="D76" s="99">
        <v>92.222222222222229</v>
      </c>
      <c r="E76" s="32">
        <v>2569733.875</v>
      </c>
    </row>
    <row r="77" spans="1:17" x14ac:dyDescent="0.25">
      <c r="A77" s="97">
        <v>311</v>
      </c>
      <c r="B77" s="98">
        <v>17500000</v>
      </c>
      <c r="C77" s="97">
        <v>311</v>
      </c>
      <c r="D77" s="99">
        <v>100</v>
      </c>
      <c r="E77" s="32">
        <v>2630436.25</v>
      </c>
    </row>
    <row r="78" spans="1:17" x14ac:dyDescent="0.25">
      <c r="A78" s="97">
        <v>312</v>
      </c>
      <c r="B78" s="98">
        <v>18409090.90909091</v>
      </c>
      <c r="C78" s="97">
        <v>312</v>
      </c>
      <c r="D78" s="99">
        <v>100</v>
      </c>
      <c r="E78" s="32">
        <v>2711372.75</v>
      </c>
    </row>
  </sheetData>
  <mergeCells count="5">
    <mergeCell ref="A33:E33"/>
    <mergeCell ref="R1:AC1"/>
    <mergeCell ref="L18:O18"/>
    <mergeCell ref="A1:H1"/>
    <mergeCell ref="A17:H1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78"/>
  <sheetViews>
    <sheetView tabSelected="1" zoomScale="85" zoomScaleNormal="85" workbookViewId="0">
      <selection sqref="A1:H1"/>
    </sheetView>
  </sheetViews>
  <sheetFormatPr defaultColWidth="14.28515625" defaultRowHeight="12.75" x14ac:dyDescent="0.25"/>
  <cols>
    <col min="1" max="9" width="14.28515625" style="6"/>
    <col min="10" max="15" width="14.28515625" style="73"/>
    <col min="16" max="16384" width="14.28515625" style="6"/>
  </cols>
  <sheetData>
    <row r="1" spans="1:27" ht="30" x14ac:dyDescent="0.25">
      <c r="A1" s="219" t="s">
        <v>122</v>
      </c>
      <c r="B1" s="219"/>
      <c r="C1" s="219"/>
      <c r="D1" s="219"/>
      <c r="E1" s="219"/>
      <c r="F1" s="219"/>
      <c r="G1" s="219"/>
      <c r="H1" s="219"/>
      <c r="Q1" s="218" t="s">
        <v>61</v>
      </c>
      <c r="R1" s="218"/>
      <c r="S1" s="218"/>
      <c r="T1" s="218"/>
      <c r="U1" s="218"/>
      <c r="V1" s="218"/>
      <c r="W1" s="218"/>
      <c r="X1" s="218"/>
      <c r="Y1" s="218"/>
      <c r="Z1" s="218"/>
      <c r="AA1" s="218"/>
    </row>
    <row r="2" spans="1:27" s="8" customFormat="1" ht="76.5" x14ac:dyDescent="0.25">
      <c r="A2" s="55">
        <f>'Caroni '!A2</f>
        <v>2018</v>
      </c>
      <c r="B2" s="1" t="s">
        <v>43</v>
      </c>
      <c r="C2" s="1" t="s">
        <v>118</v>
      </c>
      <c r="D2" s="1" t="s">
        <v>68</v>
      </c>
      <c r="E2" s="1" t="s">
        <v>39</v>
      </c>
      <c r="F2" s="1" t="s">
        <v>15</v>
      </c>
      <c r="G2" s="1" t="s">
        <v>16</v>
      </c>
      <c r="H2" s="1" t="s">
        <v>17</v>
      </c>
      <c r="Q2" s="28" t="s">
        <v>0</v>
      </c>
      <c r="R2" s="28" t="s">
        <v>90</v>
      </c>
      <c r="S2" s="28" t="s">
        <v>31</v>
      </c>
      <c r="T2" s="28" t="s">
        <v>32</v>
      </c>
      <c r="U2" s="71" t="s">
        <v>83</v>
      </c>
      <c r="V2" s="28" t="s">
        <v>26</v>
      </c>
      <c r="W2" s="28" t="s">
        <v>103</v>
      </c>
      <c r="X2" s="28" t="s">
        <v>25</v>
      </c>
      <c r="Y2" s="28" t="s">
        <v>27</v>
      </c>
      <c r="Z2" s="28" t="s">
        <v>28</v>
      </c>
      <c r="AA2" s="28" t="s">
        <v>22</v>
      </c>
    </row>
    <row r="3" spans="1:27" x14ac:dyDescent="0.25">
      <c r="A3" s="29" t="str">
        <f>'Caroni '!A3</f>
        <v>Jan 31st</v>
      </c>
      <c r="B3" s="106" t="s">
        <v>115</v>
      </c>
      <c r="C3" s="106" t="s">
        <v>115</v>
      </c>
      <c r="D3" s="84">
        <v>619</v>
      </c>
      <c r="E3" s="82">
        <v>100</v>
      </c>
      <c r="F3" s="106" t="s">
        <v>115</v>
      </c>
      <c r="G3" s="106" t="s">
        <v>115</v>
      </c>
      <c r="H3" s="106" t="s">
        <v>115</v>
      </c>
      <c r="Q3" s="29" t="s">
        <v>4</v>
      </c>
      <c r="R3" s="29">
        <f>'Caroni '!T3</f>
        <v>31</v>
      </c>
      <c r="S3" s="13">
        <f>IF(T14&gt;$B$78,$B$78,T14)</f>
        <v>4477272.7272727275</v>
      </c>
      <c r="T3" s="13">
        <f t="shared" ref="T3:T14" si="0">IF(_xlfn.ISFORMULA(E3)=TRUE, AA3+S3,E3/100*$O$21)</f>
        <v>4477272.7272727275</v>
      </c>
      <c r="U3" s="31">
        <f>IF(_xlfn.ISFORMULA(D14)=TRUE,T19+((S3-U19)/(V19-U19)),D14)</f>
        <v>619</v>
      </c>
      <c r="V3" s="32" t="e">
        <f t="shared" ref="V3:V14" si="1">B3/1000*$O$19*$O$20</f>
        <v>#VALUE!</v>
      </c>
      <c r="W3" s="48">
        <v>2.4258064516129033E-3</v>
      </c>
      <c r="X3" s="32">
        <f t="shared" ref="X3:X14" si="2">AA19*W3*R3</f>
        <v>5353.6137326350154</v>
      </c>
      <c r="Y3" s="32" t="e">
        <f t="shared" ref="Y3:Y15" si="3">C3*1000000/$O$23</f>
        <v>#VALUE!</v>
      </c>
      <c r="Z3" s="32" t="e">
        <f t="shared" ref="Z3:Z14" si="4">Y3*R3</f>
        <v>#VALUE!</v>
      </c>
      <c r="AA3" s="32" t="e">
        <f t="shared" ref="AA3:AA14" si="5">V3 -X3-Z3</f>
        <v>#VALUE!</v>
      </c>
    </row>
    <row r="4" spans="1:27" x14ac:dyDescent="0.25">
      <c r="A4" s="29" t="str">
        <f>'Caroni '!A4</f>
        <v>Feb 28th</v>
      </c>
      <c r="B4" s="106" t="s">
        <v>115</v>
      </c>
      <c r="C4" s="106" t="s">
        <v>115</v>
      </c>
      <c r="D4" s="84">
        <v>618.20000000000005</v>
      </c>
      <c r="E4" s="82">
        <v>94</v>
      </c>
      <c r="F4" s="106" t="s">
        <v>115</v>
      </c>
      <c r="G4" s="106" t="s">
        <v>115</v>
      </c>
      <c r="H4" s="106" t="s">
        <v>115</v>
      </c>
      <c r="Q4" s="29" t="s">
        <v>5</v>
      </c>
      <c r="R4" s="29">
        <f>'Caroni '!T4</f>
        <v>28</v>
      </c>
      <c r="S4" s="13">
        <f t="shared" ref="S4:S14" si="6">IF(T3&gt;$B$78,$B$78,T3)</f>
        <v>4477272.7272727275</v>
      </c>
      <c r="T4" s="13">
        <f t="shared" si="0"/>
        <v>4208636.3636363633</v>
      </c>
      <c r="U4" s="31">
        <f t="shared" ref="U4:U14" si="7">IF(_xlfn.ISFORMULA(D3)=TRUE,T20+((S4-U20)/(V20-U20)),D3)</f>
        <v>619</v>
      </c>
      <c r="V4" s="32" t="e">
        <f t="shared" si="1"/>
        <v>#VALUE!</v>
      </c>
      <c r="W4" s="48">
        <v>3.2827586206896553E-3</v>
      </c>
      <c r="X4" s="32">
        <f t="shared" si="2"/>
        <v>6543.7420972633427</v>
      </c>
      <c r="Y4" s="32" t="e">
        <f t="shared" si="3"/>
        <v>#VALUE!</v>
      </c>
      <c r="Z4" s="32" t="e">
        <f t="shared" si="4"/>
        <v>#VALUE!</v>
      </c>
      <c r="AA4" s="32" t="e">
        <f t="shared" si="5"/>
        <v>#VALUE!</v>
      </c>
    </row>
    <row r="5" spans="1:27" x14ac:dyDescent="0.25">
      <c r="A5" s="29" t="str">
        <f>'Caroni '!A5</f>
        <v>Mar 31st</v>
      </c>
      <c r="B5" s="156">
        <v>110</v>
      </c>
      <c r="C5" s="159">
        <v>8.4</v>
      </c>
      <c r="D5" s="84">
        <f t="shared" ref="D5:D8" si="8">U6</f>
        <v>614.06648088216059</v>
      </c>
      <c r="E5" s="82">
        <f t="shared" ref="E5:E8" si="9">(S6/$B$78)*100</f>
        <v>78.929928186796289</v>
      </c>
      <c r="F5" s="4">
        <f t="shared" ref="F5:F8" si="10">(S6*$O$23)/1000000</f>
        <v>777.45979263994343</v>
      </c>
      <c r="G5" s="5">
        <f t="shared" ref="G5" si="11">D5-$O$22</f>
        <v>38.06648088216059</v>
      </c>
      <c r="H5" s="32">
        <f t="shared" ref="H5:H8" si="12">(S6-$O$24/$O$23)/(Y5)</f>
        <v>91.364261028564698</v>
      </c>
      <c r="Q5" s="29" t="s">
        <v>6</v>
      </c>
      <c r="R5" s="29">
        <f>'Caroni '!T5</f>
        <v>31</v>
      </c>
      <c r="S5" s="13">
        <f t="shared" si="6"/>
        <v>4208636.3636363633</v>
      </c>
      <c r="T5" s="13">
        <f t="shared" si="0"/>
        <v>3533908.1483633793</v>
      </c>
      <c r="U5" s="31">
        <f t="shared" si="7"/>
        <v>618.20000000000005</v>
      </c>
      <c r="V5" s="32">
        <f t="shared" si="1"/>
        <v>515460</v>
      </c>
      <c r="W5" s="48">
        <v>3.0774193548387097E-3</v>
      </c>
      <c r="X5" s="32">
        <f t="shared" si="2"/>
        <v>6551.8516366201711</v>
      </c>
      <c r="Y5" s="32">
        <f t="shared" si="3"/>
        <v>38181.818181818184</v>
      </c>
      <c r="Z5" s="32">
        <f t="shared" si="4"/>
        <v>1183636.3636363638</v>
      </c>
      <c r="AA5" s="32">
        <f t="shared" si="5"/>
        <v>-674728.215272984</v>
      </c>
    </row>
    <row r="6" spans="1:27" x14ac:dyDescent="0.25">
      <c r="A6" s="29" t="str">
        <f>'Caroni '!A6</f>
        <v>April 30th</v>
      </c>
      <c r="B6" s="156">
        <v>92</v>
      </c>
      <c r="C6" s="159">
        <v>8.4</v>
      </c>
      <c r="D6" s="84">
        <f t="shared" si="8"/>
        <v>609.78113675244504</v>
      </c>
      <c r="E6" s="82">
        <f t="shared" si="9"/>
        <v>62.851846935636246</v>
      </c>
      <c r="F6" s="4">
        <f t="shared" si="10"/>
        <v>619.090692316017</v>
      </c>
      <c r="G6" s="5">
        <f t="shared" ref="G6" si="13">D6-$O$22</f>
        <v>33.781136752445036</v>
      </c>
      <c r="H6" s="32">
        <f t="shared" si="12"/>
        <v>72.510796704287742</v>
      </c>
      <c r="Q6" s="29" t="s">
        <v>7</v>
      </c>
      <c r="R6" s="29">
        <f>'Caroni '!T6</f>
        <v>30</v>
      </c>
      <c r="S6" s="13">
        <f t="shared" si="6"/>
        <v>3533908.1483633793</v>
      </c>
      <c r="T6" s="13">
        <f t="shared" si="0"/>
        <v>2814048.6014364413</v>
      </c>
      <c r="U6" s="31">
        <f t="shared" si="7"/>
        <v>614.06648088216059</v>
      </c>
      <c r="V6" s="32">
        <f t="shared" si="1"/>
        <v>431112</v>
      </c>
      <c r="W6" s="48">
        <v>3.2466666666666668E-3</v>
      </c>
      <c r="X6" s="32">
        <f t="shared" si="2"/>
        <v>5517.0014723925842</v>
      </c>
      <c r="Y6" s="32">
        <f t="shared" si="3"/>
        <v>38181.818181818184</v>
      </c>
      <c r="Z6" s="32">
        <f t="shared" si="4"/>
        <v>1145454.5454545454</v>
      </c>
      <c r="AA6" s="32">
        <f t="shared" si="5"/>
        <v>-719859.546926938</v>
      </c>
    </row>
    <row r="7" spans="1:27" x14ac:dyDescent="0.25">
      <c r="A7" s="29" t="str">
        <f>'Caroni '!A7</f>
        <v>May 31st</v>
      </c>
      <c r="B7" s="156">
        <v>94</v>
      </c>
      <c r="C7" s="159">
        <v>8.4</v>
      </c>
      <c r="D7" s="84">
        <f t="shared" si="8"/>
        <v>605.05866388234529</v>
      </c>
      <c r="E7" s="82">
        <f t="shared" si="9"/>
        <v>46.156332457415246</v>
      </c>
      <c r="F7" s="4">
        <f t="shared" si="10"/>
        <v>454.63987470554019</v>
      </c>
      <c r="G7" s="5">
        <f t="shared" ref="G7" si="14">D7-$O$22</f>
        <v>29.058663882345286</v>
      </c>
      <c r="H7" s="32">
        <f t="shared" si="12"/>
        <v>52.933318417326213</v>
      </c>
      <c r="Q7" s="29" t="s">
        <v>2</v>
      </c>
      <c r="R7" s="29">
        <f>'Caroni '!T7</f>
        <v>31</v>
      </c>
      <c r="S7" s="13">
        <f t="shared" si="6"/>
        <v>2814048.6014364413</v>
      </c>
      <c r="T7" s="13">
        <f t="shared" si="0"/>
        <v>2066544.8850251827</v>
      </c>
      <c r="U7" s="31">
        <f t="shared" si="7"/>
        <v>609.78113675244504</v>
      </c>
      <c r="V7" s="32">
        <f t="shared" si="1"/>
        <v>440484</v>
      </c>
      <c r="W7" s="48">
        <v>3.0903225806451612E-3</v>
      </c>
      <c r="X7" s="32">
        <f t="shared" si="2"/>
        <v>4351.3527748948363</v>
      </c>
      <c r="Y7" s="32">
        <f t="shared" si="3"/>
        <v>38181.818181818184</v>
      </c>
      <c r="Z7" s="32">
        <f t="shared" si="4"/>
        <v>1183636.3636363638</v>
      </c>
      <c r="AA7" s="32">
        <f t="shared" si="5"/>
        <v>-747503.71641125856</v>
      </c>
    </row>
    <row r="8" spans="1:27" x14ac:dyDescent="0.25">
      <c r="A8" s="29" t="str">
        <f>'Caroni '!A8</f>
        <v>Jun 30th</v>
      </c>
      <c r="B8" s="106">
        <v>335</v>
      </c>
      <c r="C8" s="159">
        <v>8.4</v>
      </c>
      <c r="D8" s="84">
        <f t="shared" si="8"/>
        <v>607.60531842552086</v>
      </c>
      <c r="E8" s="82">
        <f t="shared" si="9"/>
        <v>55.570577626057592</v>
      </c>
      <c r="F8" s="4">
        <f t="shared" si="10"/>
        <v>547.37018961666729</v>
      </c>
      <c r="G8" s="5">
        <f t="shared" ref="G8" si="15">D8-$O$22</f>
        <v>31.605318425520863</v>
      </c>
      <c r="H8" s="32">
        <f t="shared" si="12"/>
        <v>63.972641621031819</v>
      </c>
      <c r="Q8" s="29" t="s">
        <v>8</v>
      </c>
      <c r="R8" s="29">
        <f>'Caroni '!T8</f>
        <v>30</v>
      </c>
      <c r="S8" s="13">
        <f t="shared" si="6"/>
        <v>2066544.8850251827</v>
      </c>
      <c r="T8" s="13">
        <f t="shared" si="0"/>
        <v>2488046.3164393967</v>
      </c>
      <c r="U8" s="31">
        <f t="shared" si="7"/>
        <v>605.05866388234529</v>
      </c>
      <c r="V8" s="32">
        <f t="shared" si="1"/>
        <v>1569810</v>
      </c>
      <c r="W8" s="48">
        <v>2.8300000000000001E-3</v>
      </c>
      <c r="X8" s="32">
        <f t="shared" si="2"/>
        <v>2854.0231312404167</v>
      </c>
      <c r="Y8" s="32">
        <f t="shared" si="3"/>
        <v>38181.818181818184</v>
      </c>
      <c r="Z8" s="32">
        <f t="shared" si="4"/>
        <v>1145454.5454545454</v>
      </c>
      <c r="AA8" s="32">
        <f t="shared" si="5"/>
        <v>421501.4314142142</v>
      </c>
    </row>
    <row r="9" spans="1:27" x14ac:dyDescent="0.25">
      <c r="A9" s="29" t="str">
        <f>'Caroni '!A9</f>
        <v>Jul 31st</v>
      </c>
      <c r="B9" s="106">
        <v>344</v>
      </c>
      <c r="C9" s="159">
        <v>8.4</v>
      </c>
      <c r="D9" s="84">
        <f t="shared" ref="D9" si="16">U10</f>
        <v>610.45205649263403</v>
      </c>
      <c r="E9" s="82">
        <f t="shared" ref="E9" si="17">(S10/$B$78)*100</f>
        <v>65.058068755552583</v>
      </c>
      <c r="F9" s="4">
        <f t="shared" ref="F9" si="18">(S10*$O$23)/1000000</f>
        <v>640.82197724219293</v>
      </c>
      <c r="G9" s="5">
        <f t="shared" ref="G9" si="19">D9-$O$22</f>
        <v>34.452056492634028</v>
      </c>
      <c r="H9" s="32">
        <f t="shared" ref="H9" si="20">(S10-$O$24/$O$23)/(Y9)</f>
        <v>75.097854433594392</v>
      </c>
      <c r="Q9" s="29" t="s">
        <v>9</v>
      </c>
      <c r="R9" s="29">
        <f>'Caroni '!T9</f>
        <v>31</v>
      </c>
      <c r="S9" s="13">
        <f t="shared" si="6"/>
        <v>2488046.3164393967</v>
      </c>
      <c r="T9" s="13">
        <f t="shared" si="0"/>
        <v>2912827.1692826953</v>
      </c>
      <c r="U9" s="31">
        <f t="shared" si="7"/>
        <v>607.60531842552086</v>
      </c>
      <c r="V9" s="32">
        <f t="shared" si="1"/>
        <v>1611984</v>
      </c>
      <c r="W9" s="48">
        <v>2.854838709677419E-3</v>
      </c>
      <c r="X9" s="32">
        <f t="shared" si="2"/>
        <v>3566.7835203376949</v>
      </c>
      <c r="Y9" s="32">
        <f t="shared" si="3"/>
        <v>38181.818181818184</v>
      </c>
      <c r="Z9" s="32">
        <f t="shared" si="4"/>
        <v>1183636.3636363638</v>
      </c>
      <c r="AA9" s="32">
        <f t="shared" si="5"/>
        <v>424780.85284329858</v>
      </c>
    </row>
    <row r="10" spans="1:27" x14ac:dyDescent="0.25">
      <c r="A10" s="29" t="str">
        <f>'Caroni '!A10</f>
        <v>Aug 31st</v>
      </c>
      <c r="B10" s="106">
        <v>356</v>
      </c>
      <c r="C10" s="159">
        <v>8.4</v>
      </c>
      <c r="D10" s="84">
        <f t="shared" ref="D10" si="21">U11</f>
        <v>613.22768100957978</v>
      </c>
      <c r="E10" s="82">
        <f t="shared" ref="E10" si="22">(S11/$B$78)*100</f>
        <v>75.779106330401348</v>
      </c>
      <c r="F10" s="4">
        <f t="shared" ref="F10" si="23">(S11*$O$23)/1000000</f>
        <v>746.42419735445333</v>
      </c>
      <c r="G10" s="5">
        <f t="shared" ref="G10" si="24">D10-$O$22</f>
        <v>37.227681009579783</v>
      </c>
      <c r="H10" s="32">
        <f t="shared" ref="H10" si="25">(S11-$O$24/$O$23)/(Y10)</f>
        <v>87.669547304101584</v>
      </c>
      <c r="Q10" s="29" t="s">
        <v>11</v>
      </c>
      <c r="R10" s="29">
        <f>'Caroni '!T10</f>
        <v>31</v>
      </c>
      <c r="S10" s="13">
        <f t="shared" si="6"/>
        <v>2912827.1692826953</v>
      </c>
      <c r="T10" s="13">
        <f t="shared" si="0"/>
        <v>3392837.2607020605</v>
      </c>
      <c r="U10" s="31">
        <f t="shared" si="7"/>
        <v>610.45205649263403</v>
      </c>
      <c r="V10" s="32">
        <f t="shared" si="1"/>
        <v>1668216</v>
      </c>
      <c r="W10" s="48">
        <v>3.1387096774193549E-3</v>
      </c>
      <c r="X10" s="32">
        <f t="shared" si="2"/>
        <v>4569.5449442708787</v>
      </c>
      <c r="Y10" s="32">
        <f t="shared" si="3"/>
        <v>38181.818181818184</v>
      </c>
      <c r="Z10" s="32">
        <f t="shared" si="4"/>
        <v>1183636.3636363638</v>
      </c>
      <c r="AA10" s="32">
        <f t="shared" si="5"/>
        <v>480010.09141936526</v>
      </c>
    </row>
    <row r="11" spans="1:27" x14ac:dyDescent="0.25">
      <c r="A11" s="29" t="str">
        <f>'Caroni '!A11</f>
        <v>Sep 30th</v>
      </c>
      <c r="B11" s="106" t="s">
        <v>115</v>
      </c>
      <c r="C11" s="106" t="s">
        <v>115</v>
      </c>
      <c r="D11" s="84">
        <v>619.66999999999996</v>
      </c>
      <c r="E11" s="82">
        <v>100</v>
      </c>
      <c r="F11" s="106" t="s">
        <v>115</v>
      </c>
      <c r="G11" s="106" t="s">
        <v>115</v>
      </c>
      <c r="H11" s="106" t="s">
        <v>115</v>
      </c>
      <c r="Q11" s="29" t="s">
        <v>12</v>
      </c>
      <c r="R11" s="29">
        <f>'Caroni '!T11</f>
        <v>30</v>
      </c>
      <c r="S11" s="13">
        <f t="shared" si="6"/>
        <v>3392837.2607020605</v>
      </c>
      <c r="T11" s="13">
        <f t="shared" si="0"/>
        <v>4477272.7272727275</v>
      </c>
      <c r="U11" s="31">
        <f t="shared" si="7"/>
        <v>613.22768100957978</v>
      </c>
      <c r="V11" s="32" t="e">
        <f t="shared" si="1"/>
        <v>#VALUE!</v>
      </c>
      <c r="W11" s="48">
        <v>2.9433333333333334E-3</v>
      </c>
      <c r="X11" s="32">
        <f t="shared" si="2"/>
        <v>4808.4190518138157</v>
      </c>
      <c r="Y11" s="32" t="e">
        <f t="shared" si="3"/>
        <v>#VALUE!</v>
      </c>
      <c r="Z11" s="32" t="e">
        <f t="shared" si="4"/>
        <v>#VALUE!</v>
      </c>
      <c r="AA11" s="32" t="e">
        <f t="shared" si="5"/>
        <v>#VALUE!</v>
      </c>
    </row>
    <row r="12" spans="1:27" x14ac:dyDescent="0.25">
      <c r="A12" s="29" t="str">
        <f>'Caroni '!A12</f>
        <v>Oct 31st</v>
      </c>
      <c r="B12" s="106" t="s">
        <v>115</v>
      </c>
      <c r="C12" s="106" t="s">
        <v>115</v>
      </c>
      <c r="D12" s="84">
        <v>619.75</v>
      </c>
      <c r="E12" s="82">
        <v>100</v>
      </c>
      <c r="F12" s="106" t="s">
        <v>115</v>
      </c>
      <c r="G12" s="106" t="s">
        <v>115</v>
      </c>
      <c r="H12" s="106" t="s">
        <v>115</v>
      </c>
      <c r="Q12" s="29" t="s">
        <v>13</v>
      </c>
      <c r="R12" s="29">
        <f>'Caroni '!T12</f>
        <v>31</v>
      </c>
      <c r="S12" s="13">
        <f t="shared" si="6"/>
        <v>4477272.7272727275</v>
      </c>
      <c r="T12" s="13">
        <f t="shared" si="0"/>
        <v>4477272.7272727275</v>
      </c>
      <c r="U12" s="31">
        <f t="shared" si="7"/>
        <v>619.66999999999996</v>
      </c>
      <c r="V12" s="32" t="e">
        <f t="shared" si="1"/>
        <v>#VALUE!</v>
      </c>
      <c r="W12" s="48">
        <v>2.5161290322580645E-3</v>
      </c>
      <c r="X12" s="32">
        <f t="shared" si="2"/>
        <v>5552.9504141692978</v>
      </c>
      <c r="Y12" s="32" t="e">
        <f t="shared" si="3"/>
        <v>#VALUE!</v>
      </c>
      <c r="Z12" s="32" t="e">
        <f t="shared" si="4"/>
        <v>#VALUE!</v>
      </c>
      <c r="AA12" s="32" t="e">
        <f t="shared" si="5"/>
        <v>#VALUE!</v>
      </c>
    </row>
    <row r="13" spans="1:27" x14ac:dyDescent="0.25">
      <c r="A13" s="29" t="str">
        <f>'Caroni '!A13</f>
        <v>Nov 30th</v>
      </c>
      <c r="B13" s="106" t="s">
        <v>115</v>
      </c>
      <c r="C13" s="106" t="s">
        <v>115</v>
      </c>
      <c r="D13" s="84">
        <v>619</v>
      </c>
      <c r="E13" s="82">
        <v>100</v>
      </c>
      <c r="F13" s="106" t="s">
        <v>115</v>
      </c>
      <c r="G13" s="106" t="s">
        <v>115</v>
      </c>
      <c r="H13" s="106" t="s">
        <v>115</v>
      </c>
      <c r="Q13" s="29" t="s">
        <v>14</v>
      </c>
      <c r="R13" s="29">
        <f>'Caroni '!T13</f>
        <v>30</v>
      </c>
      <c r="S13" s="13">
        <f t="shared" si="6"/>
        <v>4477272.7272727275</v>
      </c>
      <c r="T13" s="13">
        <f t="shared" si="0"/>
        <v>4477272.7272727275</v>
      </c>
      <c r="U13" s="31">
        <f t="shared" si="7"/>
        <v>619.75</v>
      </c>
      <c r="V13" s="32" t="e">
        <f t="shared" si="1"/>
        <v>#VALUE!</v>
      </c>
      <c r="W13" s="48">
        <v>2.8999999999999998E-3</v>
      </c>
      <c r="X13" s="32">
        <f t="shared" si="2"/>
        <v>6193.6754619580624</v>
      </c>
      <c r="Y13" s="32" t="e">
        <f t="shared" si="3"/>
        <v>#VALUE!</v>
      </c>
      <c r="Z13" s="32" t="e">
        <f t="shared" si="4"/>
        <v>#VALUE!</v>
      </c>
      <c r="AA13" s="32" t="e">
        <f t="shared" si="5"/>
        <v>#VALUE!</v>
      </c>
    </row>
    <row r="14" spans="1:27" x14ac:dyDescent="0.25">
      <c r="A14" s="29" t="str">
        <f>'Caroni '!A14</f>
        <v>Dec 31st</v>
      </c>
      <c r="B14" s="106" t="s">
        <v>115</v>
      </c>
      <c r="C14" s="106" t="s">
        <v>115</v>
      </c>
      <c r="D14" s="84">
        <v>619</v>
      </c>
      <c r="E14" s="82">
        <v>100</v>
      </c>
      <c r="F14" s="106" t="s">
        <v>115</v>
      </c>
      <c r="G14" s="106" t="s">
        <v>115</v>
      </c>
      <c r="H14" s="106" t="s">
        <v>115</v>
      </c>
      <c r="Q14" s="29" t="s">
        <v>3</v>
      </c>
      <c r="R14" s="29">
        <f>'Caroni '!T14</f>
        <v>31</v>
      </c>
      <c r="S14" s="13">
        <f t="shared" si="6"/>
        <v>4477272.7272727275</v>
      </c>
      <c r="T14" s="13">
        <f t="shared" si="0"/>
        <v>4477272.7272727275</v>
      </c>
      <c r="U14" s="31">
        <f t="shared" si="7"/>
        <v>619</v>
      </c>
      <c r="V14" s="32" t="e">
        <f t="shared" si="1"/>
        <v>#VALUE!</v>
      </c>
      <c r="W14" s="48">
        <v>2.4161290322580642E-3</v>
      </c>
      <c r="X14" s="32">
        <f t="shared" si="2"/>
        <v>5332.2562310420553</v>
      </c>
      <c r="Y14" s="32" t="e">
        <f t="shared" si="3"/>
        <v>#VALUE!</v>
      </c>
      <c r="Z14" s="32" t="e">
        <f t="shared" si="4"/>
        <v>#VALUE!</v>
      </c>
      <c r="AA14" s="32" t="e">
        <f t="shared" si="5"/>
        <v>#VALUE!</v>
      </c>
    </row>
    <row r="15" spans="1:27" x14ac:dyDescent="0.25">
      <c r="B15" s="6" t="s">
        <v>126</v>
      </c>
      <c r="C15" s="6">
        <v>8.4</v>
      </c>
      <c r="R15" s="9"/>
      <c r="S15" s="12"/>
      <c r="X15" s="12"/>
      <c r="Y15" s="6">
        <f t="shared" si="3"/>
        <v>38181.818181818184</v>
      </c>
    </row>
    <row r="17" spans="1:27" ht="16.5" thickBot="1" x14ac:dyDescent="0.3">
      <c r="A17" s="229" t="s">
        <v>87</v>
      </c>
      <c r="B17" s="230"/>
      <c r="C17" s="230"/>
      <c r="D17" s="230"/>
      <c r="E17" s="230"/>
      <c r="F17" s="230"/>
      <c r="G17" s="230"/>
      <c r="H17" s="230"/>
      <c r="I17" s="128"/>
      <c r="J17" s="68"/>
    </row>
    <row r="18" spans="1:27" ht="38.25" x14ac:dyDescent="0.25">
      <c r="A18" s="2" t="s">
        <v>20</v>
      </c>
      <c r="B18" s="39">
        <v>2001</v>
      </c>
      <c r="C18" s="86">
        <v>2017</v>
      </c>
      <c r="D18" s="113">
        <v>2015</v>
      </c>
      <c r="E18" s="2" t="s">
        <v>56</v>
      </c>
      <c r="F18" s="2" t="s">
        <v>57</v>
      </c>
      <c r="G18" s="2" t="s">
        <v>104</v>
      </c>
      <c r="H18" s="113" t="s">
        <v>127</v>
      </c>
      <c r="I18" s="6" t="s">
        <v>142</v>
      </c>
      <c r="L18" s="226" t="s">
        <v>46</v>
      </c>
      <c r="M18" s="227"/>
      <c r="N18" s="227"/>
      <c r="O18" s="228"/>
      <c r="Q18" s="28" t="s">
        <v>0</v>
      </c>
      <c r="R18" s="30" t="s">
        <v>40</v>
      </c>
      <c r="S18" s="30" t="s">
        <v>41</v>
      </c>
      <c r="T18" s="28" t="s">
        <v>42</v>
      </c>
      <c r="U18" s="30" t="s">
        <v>38</v>
      </c>
      <c r="V18" s="30" t="s">
        <v>37</v>
      </c>
      <c r="W18" s="30" t="s">
        <v>36</v>
      </c>
      <c r="X18" s="28" t="s">
        <v>33</v>
      </c>
      <c r="Y18" s="30" t="s">
        <v>35</v>
      </c>
      <c r="Z18" s="30" t="s">
        <v>34</v>
      </c>
      <c r="AA18" s="28" t="s">
        <v>10</v>
      </c>
    </row>
    <row r="19" spans="1:27" ht="14.25" x14ac:dyDescent="0.2">
      <c r="A19" s="29" t="s">
        <v>47</v>
      </c>
      <c r="B19" s="3">
        <v>616.41999999999996</v>
      </c>
      <c r="C19" s="81">
        <v>618.88</v>
      </c>
      <c r="D19" s="167">
        <v>618.83000000000004</v>
      </c>
      <c r="E19" s="3">
        <v>576.70000000000005</v>
      </c>
      <c r="F19" s="3">
        <v>619</v>
      </c>
      <c r="G19" s="3">
        <v>616.9</v>
      </c>
      <c r="H19" s="114"/>
      <c r="I19" s="6">
        <v>619</v>
      </c>
      <c r="L19" s="35" t="s">
        <v>19</v>
      </c>
      <c r="M19" s="22"/>
      <c r="N19" s="22"/>
      <c r="O19" s="37">
        <v>14200000</v>
      </c>
      <c r="Q19" s="29" t="s">
        <v>4</v>
      </c>
      <c r="R19" s="34">
        <f t="array" ref="R19">INDEX($B$35:$B$78,MATCH(MIN(ABS($B$35:$B$78-S3)),ABS($B$35:$B$78-S3),0))</f>
        <v>4477272.7272727275</v>
      </c>
      <c r="S19" s="13">
        <f t="shared" ref="S19:S30" si="26">IF(S3&gt;R19, VLOOKUP(R19,$B$35:$C$78,2)+1, VLOOKUP(R19,$B$35:$C$78,2))</f>
        <v>619</v>
      </c>
      <c r="T19" s="32">
        <f>IF(S19&gt;576,S19-1,576)</f>
        <v>618</v>
      </c>
      <c r="U19" s="13">
        <f t="shared" ref="U19:U30" si="27">VLOOKUP(T19,$A$35:$B$78,2)</f>
        <v>4272727.2727272725</v>
      </c>
      <c r="V19" s="13">
        <f t="shared" ref="V19:V30" si="28">VLOOKUP(S19,$A$35:$B$78,2)</f>
        <v>4477272.7272727275</v>
      </c>
      <c r="W19" s="33">
        <f t="shared" ref="W19:W30" si="29">ROUNDUP(U3,0)</f>
        <v>619</v>
      </c>
      <c r="X19" s="32">
        <f t="shared" ref="X19:X30" si="30">VLOOKUP(W19,$C$35:$E$78,3)</f>
        <v>71191.671976529455</v>
      </c>
      <c r="Y19" s="33">
        <f t="shared" ref="Y19:Y30" si="31">ROUNDDOWN(U3,0)</f>
        <v>619</v>
      </c>
      <c r="Z19" s="32">
        <f t="shared" ref="Z19:Z30" si="32">VLOOKUP(Y19,$C$35:$E$78,3)</f>
        <v>71191.671976529455</v>
      </c>
      <c r="AA19" s="32">
        <f t="shared" ref="AA19:AA30" si="33">((X19-Z19)*(U3-Y19)+Z19)</f>
        <v>71191.671976529455</v>
      </c>
    </row>
    <row r="20" spans="1:27" x14ac:dyDescent="0.2">
      <c r="A20" s="29" t="s">
        <v>85</v>
      </c>
      <c r="B20" s="3">
        <v>612.55999999999995</v>
      </c>
      <c r="C20" s="81">
        <v>615.94000000000005</v>
      </c>
      <c r="D20" s="167">
        <v>616.02</v>
      </c>
      <c r="E20" s="3">
        <v>576.70000000000005</v>
      </c>
      <c r="F20" s="3">
        <v>619</v>
      </c>
      <c r="G20" s="3">
        <v>615.23</v>
      </c>
      <c r="H20" s="114">
        <f t="shared" ref="H20:H25" si="34">D4</f>
        <v>618.20000000000005</v>
      </c>
      <c r="I20" s="6">
        <v>618.08000000000004</v>
      </c>
      <c r="L20" s="35" t="s">
        <v>1</v>
      </c>
      <c r="M20" s="22"/>
      <c r="N20" s="22"/>
      <c r="O20" s="37">
        <v>0.33</v>
      </c>
      <c r="Q20" s="29" t="s">
        <v>5</v>
      </c>
      <c r="R20" s="34">
        <f t="array" ref="R20">INDEX($B$35:$B$78,MATCH(MIN(ABS($B$35:$B$78-S4)),ABS($B$35:$B$78-S4),0))</f>
        <v>4477272.7272727275</v>
      </c>
      <c r="S20" s="13">
        <f t="shared" si="26"/>
        <v>619</v>
      </c>
      <c r="T20" s="32">
        <f t="shared" ref="T20:T30" si="35">IF(S20&gt;576,S20-1,576)</f>
        <v>618</v>
      </c>
      <c r="U20" s="13">
        <f t="shared" si="27"/>
        <v>4272727.2727272725</v>
      </c>
      <c r="V20" s="13">
        <f t="shared" si="28"/>
        <v>4477272.7272727275</v>
      </c>
      <c r="W20" s="33">
        <f t="shared" si="29"/>
        <v>619</v>
      </c>
      <c r="X20" s="32">
        <f t="shared" si="30"/>
        <v>71191.671976529455</v>
      </c>
      <c r="Y20" s="33">
        <f t="shared" si="31"/>
        <v>619</v>
      </c>
      <c r="Z20" s="32">
        <f t="shared" si="32"/>
        <v>71191.671976529455</v>
      </c>
      <c r="AA20" s="32">
        <f t="shared" si="33"/>
        <v>71191.671976529455</v>
      </c>
    </row>
    <row r="21" spans="1:27" ht="14.25" x14ac:dyDescent="0.2">
      <c r="A21" s="29" t="s">
        <v>86</v>
      </c>
      <c r="B21" s="3">
        <v>606.1</v>
      </c>
      <c r="C21" s="94">
        <v>612.79</v>
      </c>
      <c r="D21" s="168">
        <v>612.63</v>
      </c>
      <c r="E21" s="3">
        <v>576.70000000000005</v>
      </c>
      <c r="F21" s="3">
        <v>619</v>
      </c>
      <c r="G21" s="3">
        <v>611.04</v>
      </c>
      <c r="H21" s="114">
        <f t="shared" si="34"/>
        <v>614.06648088216059</v>
      </c>
      <c r="L21" s="35" t="s">
        <v>63</v>
      </c>
      <c r="M21" s="22"/>
      <c r="N21" s="22"/>
      <c r="O21" s="41">
        <f>B78</f>
        <v>4477272.7272727275</v>
      </c>
      <c r="Q21" s="29" t="s">
        <v>6</v>
      </c>
      <c r="R21" s="34">
        <f t="array" ref="R21">INDEX($B$35:$B$78,MATCH(MIN(ABS($B$35:$B$78-S5)),ABS($B$35:$B$78-S5),0))</f>
        <v>4272727.2727272725</v>
      </c>
      <c r="S21" s="13">
        <f t="shared" si="26"/>
        <v>618</v>
      </c>
      <c r="T21" s="32">
        <f t="shared" si="35"/>
        <v>617</v>
      </c>
      <c r="U21" s="13">
        <f t="shared" si="27"/>
        <v>4090909.0909090908</v>
      </c>
      <c r="V21" s="13">
        <f t="shared" si="28"/>
        <v>4272727.2727272725</v>
      </c>
      <c r="W21" s="33">
        <f t="shared" si="29"/>
        <v>619</v>
      </c>
      <c r="X21" s="32">
        <f t="shared" si="30"/>
        <v>71191.671976529455</v>
      </c>
      <c r="Y21" s="33">
        <f t="shared" si="31"/>
        <v>618</v>
      </c>
      <c r="Z21" s="32">
        <f t="shared" si="32"/>
        <v>68049.194645020645</v>
      </c>
      <c r="AA21" s="32">
        <f t="shared" si="33"/>
        <v>68677.690111322547</v>
      </c>
    </row>
    <row r="22" spans="1:27" x14ac:dyDescent="0.2">
      <c r="A22" s="29" t="s">
        <v>48</v>
      </c>
      <c r="B22" s="3">
        <v>599.41999999999996</v>
      </c>
      <c r="C22" s="81">
        <v>607.75</v>
      </c>
      <c r="D22" s="167">
        <v>608.16999999999996</v>
      </c>
      <c r="E22" s="3">
        <v>576.70000000000005</v>
      </c>
      <c r="F22" s="3">
        <v>619</v>
      </c>
      <c r="G22" s="3">
        <v>606.98</v>
      </c>
      <c r="H22" s="114">
        <f t="shared" si="34"/>
        <v>609.78113675244504</v>
      </c>
      <c r="L22" s="35" t="s">
        <v>45</v>
      </c>
      <c r="M22" s="22"/>
      <c r="N22" s="22"/>
      <c r="O22" s="38">
        <v>576</v>
      </c>
      <c r="Q22" s="29" t="s">
        <v>7</v>
      </c>
      <c r="R22" s="34">
        <f t="array" ref="R22">INDEX($B$35:$B$78,MATCH(MIN(ABS($B$35:$B$78-S6)),ABS($B$35:$B$78-S6),0))</f>
        <v>3522727.2727272729</v>
      </c>
      <c r="S22" s="13">
        <f t="shared" si="26"/>
        <v>615</v>
      </c>
      <c r="T22" s="32">
        <f t="shared" si="35"/>
        <v>614</v>
      </c>
      <c r="U22" s="13">
        <f t="shared" si="27"/>
        <v>3522727.2727272729</v>
      </c>
      <c r="V22" s="13">
        <f t="shared" si="28"/>
        <v>3690909.0909090908</v>
      </c>
      <c r="W22" s="33">
        <f t="shared" si="29"/>
        <v>615</v>
      </c>
      <c r="X22" s="32">
        <f t="shared" si="30"/>
        <v>59069.667289371537</v>
      </c>
      <c r="Y22" s="33">
        <f t="shared" si="31"/>
        <v>614</v>
      </c>
      <c r="Z22" s="32">
        <f t="shared" si="32"/>
        <v>56469.890108865206</v>
      </c>
      <c r="AA22" s="32">
        <f t="shared" si="33"/>
        <v>56642.725589246242</v>
      </c>
    </row>
    <row r="23" spans="1:27" x14ac:dyDescent="0.2">
      <c r="A23" s="29" t="s">
        <v>2</v>
      </c>
      <c r="B23" s="3">
        <v>593.52</v>
      </c>
      <c r="C23" s="81">
        <v>601.98</v>
      </c>
      <c r="D23" s="166">
        <v>602.75</v>
      </c>
      <c r="E23" s="3">
        <v>576.70000000000005</v>
      </c>
      <c r="F23" s="3">
        <v>619</v>
      </c>
      <c r="G23" s="3">
        <v>604.08000000000004</v>
      </c>
      <c r="H23" s="114">
        <f t="shared" si="34"/>
        <v>605.05866388234529</v>
      </c>
      <c r="L23" s="35" t="s">
        <v>84</v>
      </c>
      <c r="M23" s="22"/>
      <c r="N23" s="22"/>
      <c r="O23" s="49">
        <v>220</v>
      </c>
      <c r="Q23" s="29" t="s">
        <v>2</v>
      </c>
      <c r="R23" s="34">
        <f t="array" ref="R23">INDEX($B$35:$B$78,MATCH(MIN(ABS($B$35:$B$78-S7)),ABS($B$35:$B$78-S7),0))</f>
        <v>2840909.0909090908</v>
      </c>
      <c r="S23" s="13">
        <f t="shared" si="26"/>
        <v>610</v>
      </c>
      <c r="T23" s="32">
        <f t="shared" si="35"/>
        <v>609</v>
      </c>
      <c r="U23" s="13">
        <f t="shared" si="27"/>
        <v>2718181.8181818184</v>
      </c>
      <c r="V23" s="13">
        <f t="shared" si="28"/>
        <v>2840909.0909090908</v>
      </c>
      <c r="W23" s="33">
        <f t="shared" si="29"/>
        <v>610</v>
      </c>
      <c r="X23" s="32">
        <f t="shared" si="30"/>
        <v>45838.858443737758</v>
      </c>
      <c r="Y23" s="33">
        <f t="shared" si="31"/>
        <v>609</v>
      </c>
      <c r="Z23" s="32">
        <f t="shared" si="32"/>
        <v>43930.637196996147</v>
      </c>
      <c r="AA23" s="32">
        <f t="shared" si="33"/>
        <v>45421.218944622509</v>
      </c>
    </row>
    <row r="24" spans="1:27" ht="13.5" thickBot="1" x14ac:dyDescent="0.25">
      <c r="A24" s="29" t="s">
        <v>49</v>
      </c>
      <c r="B24" s="3">
        <v>592.35</v>
      </c>
      <c r="C24" s="81">
        <v>614.83000000000004</v>
      </c>
      <c r="D24" s="168">
        <v>598.5</v>
      </c>
      <c r="E24" s="3">
        <v>576.70000000000005</v>
      </c>
      <c r="F24" s="3">
        <v>619</v>
      </c>
      <c r="G24" s="3">
        <v>605.92999999999995</v>
      </c>
      <c r="H24" s="114">
        <f t="shared" si="34"/>
        <v>607.60531842552086</v>
      </c>
      <c r="L24" s="50" t="s">
        <v>74</v>
      </c>
      <c r="M24" s="51"/>
      <c r="N24" s="51"/>
      <c r="O24" s="52">
        <v>10000000</v>
      </c>
      <c r="Q24" s="29" t="s">
        <v>8</v>
      </c>
      <c r="R24" s="34">
        <f t="array" ref="R24">INDEX($B$35:$B$78,MATCH(MIN(ABS($B$35:$B$78-S8)),ABS($B$35:$B$78-S8),0))</f>
        <v>2054545.4545454546</v>
      </c>
      <c r="S24" s="13">
        <f t="shared" si="26"/>
        <v>606</v>
      </c>
      <c r="T24" s="32">
        <f t="shared" si="35"/>
        <v>605</v>
      </c>
      <c r="U24" s="13">
        <f t="shared" si="27"/>
        <v>2054545.4545454546</v>
      </c>
      <c r="V24" s="13">
        <f t="shared" si="28"/>
        <v>2259090.9090909092</v>
      </c>
      <c r="W24" s="33">
        <f t="shared" si="29"/>
        <v>606</v>
      </c>
      <c r="X24" s="32">
        <f t="shared" si="30"/>
        <v>36691.661292113466</v>
      </c>
      <c r="Y24" s="33">
        <f t="shared" si="31"/>
        <v>605</v>
      </c>
      <c r="Z24" s="32">
        <f t="shared" si="32"/>
        <v>33424.634843259169</v>
      </c>
      <c r="AA24" s="32">
        <f t="shared" si="33"/>
        <v>33616.291298473698</v>
      </c>
    </row>
    <row r="25" spans="1:27" x14ac:dyDescent="0.2">
      <c r="A25" s="29" t="s">
        <v>50</v>
      </c>
      <c r="B25" s="3">
        <v>590.25</v>
      </c>
      <c r="C25" s="81">
        <v>618.32000000000005</v>
      </c>
      <c r="D25" s="167">
        <v>599.25</v>
      </c>
      <c r="E25" s="3">
        <v>576.70000000000005</v>
      </c>
      <c r="F25" s="3">
        <v>619</v>
      </c>
      <c r="G25" s="3">
        <v>609.27896551724143</v>
      </c>
      <c r="H25" s="114">
        <f t="shared" si="34"/>
        <v>610.45205649263403</v>
      </c>
      <c r="Q25" s="29" t="s">
        <v>9</v>
      </c>
      <c r="R25" s="34">
        <f t="array" ref="R25">INDEX($B$35:$B$78,MATCH(MIN(ABS($B$35:$B$78-S9)),ABS($B$35:$B$78-S9),0))</f>
        <v>2545454.5454545454</v>
      </c>
      <c r="S25" s="13">
        <f t="shared" si="26"/>
        <v>608</v>
      </c>
      <c r="T25" s="32">
        <f t="shared" si="35"/>
        <v>607</v>
      </c>
      <c r="U25" s="13">
        <f t="shared" si="27"/>
        <v>2400000</v>
      </c>
      <c r="V25" s="13">
        <f t="shared" si="28"/>
        <v>2545454.5454545454</v>
      </c>
      <c r="W25" s="33">
        <f t="shared" si="29"/>
        <v>608</v>
      </c>
      <c r="X25" s="32">
        <f t="shared" si="30"/>
        <v>41206.721169423203</v>
      </c>
      <c r="Y25" s="33">
        <f t="shared" si="31"/>
        <v>607</v>
      </c>
      <c r="Z25" s="32">
        <f t="shared" si="32"/>
        <v>38916.058062758631</v>
      </c>
      <c r="AA25" s="32">
        <f t="shared" si="33"/>
        <v>40302.638647883563</v>
      </c>
    </row>
    <row r="26" spans="1:27" x14ac:dyDescent="0.2">
      <c r="A26" s="29" t="s">
        <v>51</v>
      </c>
      <c r="B26" s="3">
        <v>593.25</v>
      </c>
      <c r="C26" s="81">
        <v>619.75</v>
      </c>
      <c r="D26" s="168">
        <v>598.71</v>
      </c>
      <c r="E26" s="3">
        <v>576.70000000000005</v>
      </c>
      <c r="F26" s="3">
        <v>619</v>
      </c>
      <c r="G26" s="3">
        <v>611.46</v>
      </c>
      <c r="H26" s="114"/>
      <c r="Q26" s="29" t="s">
        <v>11</v>
      </c>
      <c r="R26" s="34">
        <f t="array" ref="R26">INDEX($B$35:$B$78,MATCH(MIN(ABS($B$35:$B$78-S10)),ABS($B$35:$B$78-S10),0))</f>
        <v>2840909.0909090908</v>
      </c>
      <c r="S26" s="13">
        <f t="shared" si="26"/>
        <v>611</v>
      </c>
      <c r="T26" s="32">
        <f t="shared" si="35"/>
        <v>610</v>
      </c>
      <c r="U26" s="13">
        <f t="shared" si="27"/>
        <v>2840909.0909090908</v>
      </c>
      <c r="V26" s="13">
        <f t="shared" si="28"/>
        <v>3000000</v>
      </c>
      <c r="W26" s="33">
        <f t="shared" si="29"/>
        <v>611</v>
      </c>
      <c r="X26" s="32">
        <f t="shared" si="30"/>
        <v>48326.610564841423</v>
      </c>
      <c r="Y26" s="33">
        <f t="shared" si="31"/>
        <v>610</v>
      </c>
      <c r="Z26" s="32">
        <f t="shared" si="32"/>
        <v>45838.858443737758</v>
      </c>
      <c r="AA26" s="32">
        <f t="shared" si="33"/>
        <v>46963.462942146747</v>
      </c>
    </row>
    <row r="27" spans="1:27" x14ac:dyDescent="0.2">
      <c r="A27" s="29" t="s">
        <v>52</v>
      </c>
      <c r="B27" s="3">
        <v>594.77</v>
      </c>
      <c r="C27" s="81">
        <v>619.66999999999996</v>
      </c>
      <c r="D27" s="159">
        <v>601.08000000000004</v>
      </c>
      <c r="E27" s="3">
        <v>576.70000000000005</v>
      </c>
      <c r="F27" s="3">
        <v>619</v>
      </c>
      <c r="G27" s="3">
        <v>612.55999999999995</v>
      </c>
      <c r="H27" s="114"/>
      <c r="Q27" s="29" t="s">
        <v>12</v>
      </c>
      <c r="R27" s="34">
        <f t="array" ref="R27">INDEX($B$35:$B$78,MATCH(MIN(ABS($B$35:$B$78-S11)),ABS($B$35:$B$78-S11),0))</f>
        <v>3354545.4545454546</v>
      </c>
      <c r="S27" s="13">
        <f t="shared" si="26"/>
        <v>614</v>
      </c>
      <c r="T27" s="32">
        <f t="shared" si="35"/>
        <v>613</v>
      </c>
      <c r="U27" s="13">
        <f t="shared" si="27"/>
        <v>3354545.4545454546</v>
      </c>
      <c r="V27" s="13">
        <f t="shared" si="28"/>
        <v>3522727.2727272729</v>
      </c>
      <c r="W27" s="33">
        <f t="shared" si="29"/>
        <v>614</v>
      </c>
      <c r="X27" s="32">
        <f t="shared" si="30"/>
        <v>56469.890108865206</v>
      </c>
      <c r="Y27" s="33">
        <f t="shared" si="31"/>
        <v>613</v>
      </c>
      <c r="Z27" s="32">
        <f t="shared" si="32"/>
        <v>53861.630784213667</v>
      </c>
      <c r="AA27" s="32">
        <f t="shared" si="33"/>
        <v>54455.481900496212</v>
      </c>
    </row>
    <row r="28" spans="1:27" x14ac:dyDescent="0.2">
      <c r="A28" s="29" t="s">
        <v>53</v>
      </c>
      <c r="B28" s="3">
        <v>596.41999999999996</v>
      </c>
      <c r="C28" s="81">
        <v>619.75</v>
      </c>
      <c r="D28" s="159">
        <v>601.98</v>
      </c>
      <c r="E28" s="3">
        <v>576.70000000000005</v>
      </c>
      <c r="F28" s="3">
        <v>619</v>
      </c>
      <c r="G28" s="3">
        <v>614.26965517241376</v>
      </c>
      <c r="H28" s="114"/>
      <c r="Q28" s="29" t="s">
        <v>13</v>
      </c>
      <c r="R28" s="34">
        <f t="array" ref="R28">INDEX($B$35:$B$78,MATCH(MIN(ABS($B$35:$B$78-S12)),ABS($B$35:$B$78-S12),0))</f>
        <v>4477272.7272727275</v>
      </c>
      <c r="S28" s="13">
        <f t="shared" si="26"/>
        <v>619</v>
      </c>
      <c r="T28" s="32">
        <f t="shared" si="35"/>
        <v>618</v>
      </c>
      <c r="U28" s="13">
        <f t="shared" si="27"/>
        <v>4272727.2727272725</v>
      </c>
      <c r="V28" s="13">
        <f t="shared" si="28"/>
        <v>4477272.7272727275</v>
      </c>
      <c r="W28" s="33">
        <f t="shared" si="29"/>
        <v>620</v>
      </c>
      <c r="X28" s="32">
        <f t="shared" si="30"/>
        <v>71191.671976529455</v>
      </c>
      <c r="Y28" s="33">
        <f t="shared" si="31"/>
        <v>619</v>
      </c>
      <c r="Z28" s="32">
        <f t="shared" si="32"/>
        <v>71191.671976529455</v>
      </c>
      <c r="AA28" s="32">
        <f t="shared" si="33"/>
        <v>71191.671976529455</v>
      </c>
    </row>
    <row r="29" spans="1:27" x14ac:dyDescent="0.2">
      <c r="A29" s="29" t="s">
        <v>54</v>
      </c>
      <c r="B29" s="3">
        <v>601.72</v>
      </c>
      <c r="C29" s="81">
        <v>619.58000000000004</v>
      </c>
      <c r="D29" s="159">
        <v>611.41999999999996</v>
      </c>
      <c r="E29" s="3">
        <v>576.70000000000005</v>
      </c>
      <c r="F29" s="3">
        <v>619</v>
      </c>
      <c r="G29" s="3">
        <v>617.05999999999995</v>
      </c>
      <c r="H29" s="114"/>
      <c r="Q29" s="29" t="s">
        <v>14</v>
      </c>
      <c r="R29" s="34">
        <f t="array" ref="R29">INDEX($B$35:$B$78,MATCH(MIN(ABS($B$35:$B$78-S13)),ABS($B$35:$B$78-S13),0))</f>
        <v>4477272.7272727275</v>
      </c>
      <c r="S29" s="13">
        <f t="shared" si="26"/>
        <v>619</v>
      </c>
      <c r="T29" s="32">
        <f t="shared" si="35"/>
        <v>618</v>
      </c>
      <c r="U29" s="13">
        <f t="shared" si="27"/>
        <v>4272727.2727272725</v>
      </c>
      <c r="V29" s="13">
        <f t="shared" si="28"/>
        <v>4477272.7272727275</v>
      </c>
      <c r="W29" s="33">
        <f t="shared" si="29"/>
        <v>620</v>
      </c>
      <c r="X29" s="32">
        <f t="shared" si="30"/>
        <v>71191.671976529455</v>
      </c>
      <c r="Y29" s="33">
        <f t="shared" si="31"/>
        <v>619</v>
      </c>
      <c r="Z29" s="32">
        <f t="shared" si="32"/>
        <v>71191.671976529455</v>
      </c>
      <c r="AA29" s="32">
        <f t="shared" si="33"/>
        <v>71191.671976529455</v>
      </c>
    </row>
    <row r="30" spans="1:27" x14ac:dyDescent="0.2">
      <c r="A30" s="29" t="s">
        <v>55</v>
      </c>
      <c r="B30" s="3">
        <v>619.52</v>
      </c>
      <c r="C30" s="81">
        <v>619</v>
      </c>
      <c r="D30" s="159">
        <v>617.13</v>
      </c>
      <c r="E30" s="3">
        <v>576.70000000000005</v>
      </c>
      <c r="F30" s="3">
        <v>619</v>
      </c>
      <c r="G30" s="3">
        <v>618.25</v>
      </c>
      <c r="H30" s="114"/>
      <c r="Q30" s="29" t="s">
        <v>3</v>
      </c>
      <c r="R30" s="34">
        <f t="array" ref="R30">INDEX($B$35:$B$78,MATCH(MIN(ABS($B$35:$B$78-S14)),ABS($B$35:$B$78-S14),0))</f>
        <v>4477272.7272727275</v>
      </c>
      <c r="S30" s="13">
        <f t="shared" si="26"/>
        <v>619</v>
      </c>
      <c r="T30" s="32">
        <f t="shared" si="35"/>
        <v>618</v>
      </c>
      <c r="U30" s="13">
        <f t="shared" si="27"/>
        <v>4272727.2727272725</v>
      </c>
      <c r="V30" s="13">
        <f t="shared" si="28"/>
        <v>4477272.7272727275</v>
      </c>
      <c r="W30" s="33">
        <f t="shared" si="29"/>
        <v>619</v>
      </c>
      <c r="X30" s="32">
        <f t="shared" si="30"/>
        <v>71191.671976529455</v>
      </c>
      <c r="Y30" s="33">
        <f t="shared" si="31"/>
        <v>619</v>
      </c>
      <c r="Z30" s="32">
        <f t="shared" si="32"/>
        <v>71191.671976529455</v>
      </c>
      <c r="AA30" s="32">
        <f t="shared" si="33"/>
        <v>71191.671976529455</v>
      </c>
    </row>
    <row r="31" spans="1:27" x14ac:dyDescent="0.25">
      <c r="A31" s="14"/>
      <c r="B31" s="40"/>
      <c r="C31" s="14"/>
      <c r="D31" s="14"/>
      <c r="E31" s="40"/>
      <c r="F31" s="14"/>
      <c r="G31" s="14"/>
      <c r="H31" s="40"/>
      <c r="W31" s="20"/>
      <c r="X31" s="14"/>
      <c r="Y31" s="15"/>
      <c r="Z31" s="15"/>
      <c r="AA31" s="14"/>
    </row>
    <row r="32" spans="1:27" s="42" customFormat="1" ht="14.25" x14ac:dyDescent="0.25">
      <c r="A32" s="44"/>
      <c r="B32" s="43"/>
      <c r="C32" s="43"/>
      <c r="D32" s="44"/>
      <c r="E32" s="43"/>
      <c r="F32" s="43"/>
      <c r="G32" s="44"/>
      <c r="H32" s="43"/>
    </row>
    <row r="33" spans="1:16" ht="15" x14ac:dyDescent="0.25">
      <c r="A33" s="238" t="s">
        <v>60</v>
      </c>
      <c r="B33" s="238"/>
      <c r="C33" s="238"/>
      <c r="D33" s="238"/>
      <c r="E33" s="238"/>
      <c r="F33" s="14"/>
      <c r="G33" s="19"/>
      <c r="H33" s="14"/>
    </row>
    <row r="34" spans="1:16" ht="14.25" x14ac:dyDescent="0.25">
      <c r="A34" s="25" t="s">
        <v>23</v>
      </c>
      <c r="B34" s="25" t="s">
        <v>24</v>
      </c>
      <c r="C34" s="25" t="s">
        <v>23</v>
      </c>
      <c r="D34" s="25" t="s">
        <v>70</v>
      </c>
      <c r="E34" s="25" t="s">
        <v>30</v>
      </c>
      <c r="F34" s="14"/>
      <c r="G34" s="14"/>
      <c r="H34" s="14"/>
    </row>
    <row r="35" spans="1:16" x14ac:dyDescent="0.25">
      <c r="A35" s="97">
        <v>576</v>
      </c>
      <c r="B35" s="98">
        <v>0</v>
      </c>
      <c r="C35" s="97">
        <v>576</v>
      </c>
      <c r="D35" s="99">
        <v>0.19801980198019803</v>
      </c>
      <c r="E35" s="98">
        <v>0</v>
      </c>
      <c r="F35" s="14"/>
      <c r="G35" s="14"/>
      <c r="H35" s="14"/>
    </row>
    <row r="36" spans="1:16" x14ac:dyDescent="0.25">
      <c r="A36" s="97">
        <v>577</v>
      </c>
      <c r="B36" s="98">
        <v>9090.9090909090901</v>
      </c>
      <c r="C36" s="97">
        <v>577</v>
      </c>
      <c r="D36" s="99">
        <v>0.49504950495049505</v>
      </c>
      <c r="E36" s="98">
        <v>155.07357310602441</v>
      </c>
      <c r="F36" s="11"/>
      <c r="G36" s="11"/>
      <c r="H36" s="11"/>
    </row>
    <row r="37" spans="1:16" x14ac:dyDescent="0.25">
      <c r="A37" s="97">
        <v>578</v>
      </c>
      <c r="B37" s="98">
        <v>22727.272727272728</v>
      </c>
      <c r="C37" s="97">
        <v>578</v>
      </c>
      <c r="D37" s="99">
        <v>1.1881188118811881</v>
      </c>
      <c r="E37" s="98">
        <v>387.01319931737055</v>
      </c>
      <c r="F37" s="19"/>
      <c r="G37" s="14"/>
      <c r="H37" s="14"/>
    </row>
    <row r="38" spans="1:16" x14ac:dyDescent="0.25">
      <c r="A38" s="97">
        <v>579</v>
      </c>
      <c r="B38" s="98">
        <v>54545.454545454544</v>
      </c>
      <c r="C38" s="97">
        <v>579</v>
      </c>
      <c r="D38" s="99">
        <v>1.782178217821782</v>
      </c>
      <c r="E38" s="98">
        <v>927.22747857177296</v>
      </c>
      <c r="F38" s="19"/>
      <c r="G38" s="14"/>
      <c r="H38" s="14"/>
    </row>
    <row r="39" spans="1:16" ht="15.75" x14ac:dyDescent="0.25">
      <c r="A39" s="97">
        <v>580</v>
      </c>
      <c r="B39" s="98">
        <v>81818.181818181823</v>
      </c>
      <c r="C39" s="97">
        <v>580</v>
      </c>
      <c r="D39" s="99">
        <v>2.277227722772277</v>
      </c>
      <c r="E39" s="98">
        <v>1388.4432157579049</v>
      </c>
      <c r="K39" s="68"/>
      <c r="L39" s="68"/>
      <c r="M39" s="68"/>
      <c r="N39" s="68"/>
      <c r="O39" s="68"/>
      <c r="P39" s="68"/>
    </row>
    <row r="40" spans="1:16" x14ac:dyDescent="0.25">
      <c r="A40" s="97">
        <v>581</v>
      </c>
      <c r="B40" s="98">
        <v>104545.45454545454</v>
      </c>
      <c r="C40" s="97">
        <v>581</v>
      </c>
      <c r="D40" s="99">
        <v>2.9702970297029703</v>
      </c>
      <c r="E40" s="98">
        <v>1771.0683207315403</v>
      </c>
      <c r="K40" s="11"/>
      <c r="L40" s="11"/>
      <c r="M40" s="11"/>
      <c r="N40" s="11"/>
      <c r="O40" s="11"/>
    </row>
    <row r="41" spans="1:16" x14ac:dyDescent="0.25">
      <c r="A41" s="97">
        <v>582</v>
      </c>
      <c r="B41" s="98">
        <v>136363.63636363635</v>
      </c>
      <c r="C41" s="97">
        <v>582</v>
      </c>
      <c r="D41" s="99">
        <v>3.9603960396039604</v>
      </c>
      <c r="E41" s="98">
        <v>2306.119888715878</v>
      </c>
      <c r="K41" s="109"/>
      <c r="L41" s="109"/>
      <c r="M41" s="109"/>
      <c r="N41" s="109"/>
      <c r="O41" s="109"/>
    </row>
    <row r="42" spans="1:16" x14ac:dyDescent="0.25">
      <c r="A42" s="97">
        <v>583</v>
      </c>
      <c r="B42" s="98">
        <v>181818.18181818182</v>
      </c>
      <c r="C42" s="97">
        <v>583</v>
      </c>
      <c r="D42" s="99">
        <v>4.7524752475247523</v>
      </c>
      <c r="E42" s="98">
        <v>3069.5523733165032</v>
      </c>
      <c r="K42" s="109"/>
      <c r="L42" s="109"/>
      <c r="M42" s="109"/>
      <c r="N42" s="109"/>
      <c r="O42" s="109"/>
    </row>
    <row r="43" spans="1:16" x14ac:dyDescent="0.25">
      <c r="A43" s="97">
        <v>584</v>
      </c>
      <c r="B43" s="98">
        <v>218181.81818181818</v>
      </c>
      <c r="C43" s="97">
        <v>584</v>
      </c>
      <c r="D43" s="99">
        <v>5.6435643564356441</v>
      </c>
      <c r="E43" s="98">
        <v>3677.1555485825788</v>
      </c>
      <c r="K43" s="109"/>
      <c r="L43" s="109"/>
      <c r="M43" s="109"/>
      <c r="N43" s="109"/>
      <c r="O43" s="109"/>
    </row>
    <row r="44" spans="1:16" x14ac:dyDescent="0.25">
      <c r="A44" s="97">
        <v>585</v>
      </c>
      <c r="B44" s="98">
        <v>259090.90909090909</v>
      </c>
      <c r="C44" s="97">
        <v>585</v>
      </c>
      <c r="D44" s="99">
        <v>6.7326732673267333</v>
      </c>
      <c r="E44" s="98">
        <v>4359.1579024649891</v>
      </c>
      <c r="K44" s="109"/>
      <c r="L44" s="109"/>
      <c r="M44" s="109"/>
      <c r="N44" s="109"/>
      <c r="O44" s="109"/>
    </row>
    <row r="45" spans="1:16" x14ac:dyDescent="0.25">
      <c r="A45" s="97">
        <v>586</v>
      </c>
      <c r="B45" s="98">
        <v>309090.90909090912</v>
      </c>
      <c r="C45" s="97">
        <v>586</v>
      </c>
      <c r="D45" s="99">
        <v>7.9207920792079207</v>
      </c>
      <c r="E45" s="98">
        <v>5191.5245003310356</v>
      </c>
      <c r="K45" s="109"/>
      <c r="L45" s="109"/>
      <c r="M45" s="109"/>
      <c r="N45" s="109"/>
      <c r="O45" s="109"/>
    </row>
    <row r="46" spans="1:16" x14ac:dyDescent="0.25">
      <c r="A46" s="97">
        <v>587</v>
      </c>
      <c r="B46" s="98">
        <v>363636.36363636365</v>
      </c>
      <c r="C46" s="97">
        <v>587</v>
      </c>
      <c r="D46" s="99">
        <v>8.9108910891089099</v>
      </c>
      <c r="E46" s="98">
        <v>6097.2709834532252</v>
      </c>
      <c r="K46" s="109"/>
      <c r="L46" s="109"/>
      <c r="M46" s="109"/>
      <c r="N46" s="109"/>
      <c r="O46" s="109"/>
      <c r="P46" s="58"/>
    </row>
    <row r="47" spans="1:16" x14ac:dyDescent="0.25">
      <c r="A47" s="97">
        <v>588</v>
      </c>
      <c r="B47" s="98">
        <v>409090.90909090912</v>
      </c>
      <c r="C47" s="97">
        <v>588</v>
      </c>
      <c r="D47" s="99">
        <v>10.099009900990099</v>
      </c>
      <c r="E47" s="98">
        <v>6847.7641593502103</v>
      </c>
      <c r="K47" s="109"/>
      <c r="L47" s="109"/>
      <c r="M47" s="109"/>
      <c r="N47" s="109"/>
      <c r="O47" s="109"/>
      <c r="P47" s="58"/>
    </row>
    <row r="48" spans="1:16" x14ac:dyDescent="0.25">
      <c r="A48" s="97">
        <v>589</v>
      </c>
      <c r="B48" s="98">
        <v>463636.36363636365</v>
      </c>
      <c r="C48" s="97">
        <v>589</v>
      </c>
      <c r="D48" s="99">
        <v>11.683168316831685</v>
      </c>
      <c r="E48" s="98">
        <v>7747.6231507486928</v>
      </c>
      <c r="K48" s="109"/>
      <c r="L48" s="109"/>
      <c r="M48" s="109"/>
      <c r="N48" s="109"/>
      <c r="O48" s="109"/>
      <c r="P48" s="58"/>
    </row>
    <row r="49" spans="1:16" x14ac:dyDescent="0.25">
      <c r="A49" s="97">
        <v>590</v>
      </c>
      <c r="B49" s="98">
        <v>536363.63636363635</v>
      </c>
      <c r="C49" s="97">
        <v>590</v>
      </c>
      <c r="D49" s="99">
        <v>13.366336633663368</v>
      </c>
      <c r="E49" s="98">
        <v>8947.7451682176088</v>
      </c>
      <c r="K49" s="109"/>
      <c r="L49" s="109"/>
      <c r="M49" s="109"/>
      <c r="N49" s="109"/>
      <c r="O49" s="109"/>
      <c r="P49" s="58"/>
    </row>
    <row r="50" spans="1:16" x14ac:dyDescent="0.25">
      <c r="A50" s="97">
        <v>591</v>
      </c>
      <c r="B50" s="98">
        <v>613636.36363636365</v>
      </c>
      <c r="C50" s="97">
        <v>591</v>
      </c>
      <c r="D50" s="99">
        <v>15.148514851485148</v>
      </c>
      <c r="E50" s="98">
        <v>10219.505902786608</v>
      </c>
      <c r="K50" s="109"/>
      <c r="L50" s="109"/>
      <c r="M50" s="109"/>
      <c r="N50" s="109"/>
      <c r="O50" s="109"/>
      <c r="P50" s="58"/>
    </row>
    <row r="51" spans="1:16" x14ac:dyDescent="0.25">
      <c r="A51" s="97">
        <v>592</v>
      </c>
      <c r="B51" s="98">
        <v>695454.54545454541</v>
      </c>
      <c r="C51" s="97">
        <v>592</v>
      </c>
      <c r="D51" s="99">
        <v>17.128712871287131</v>
      </c>
      <c r="E51" s="98">
        <v>11562.542320416334</v>
      </c>
      <c r="K51" s="109"/>
      <c r="L51" s="109"/>
      <c r="M51" s="109"/>
      <c r="N51" s="109"/>
      <c r="O51" s="109"/>
      <c r="P51" s="58"/>
    </row>
    <row r="52" spans="1:16" x14ac:dyDescent="0.25">
      <c r="A52" s="97">
        <v>593</v>
      </c>
      <c r="B52" s="98">
        <v>786363.63636363635</v>
      </c>
      <c r="C52" s="97">
        <v>593</v>
      </c>
      <c r="D52" s="99">
        <v>18.910891089108912</v>
      </c>
      <c r="E52" s="98">
        <v>13051.938567467507</v>
      </c>
      <c r="K52" s="109"/>
      <c r="L52" s="109"/>
      <c r="M52" s="109"/>
      <c r="N52" s="109"/>
      <c r="O52" s="109"/>
      <c r="P52" s="58"/>
    </row>
    <row r="53" spans="1:16" x14ac:dyDescent="0.25">
      <c r="A53" s="97">
        <v>594</v>
      </c>
      <c r="B53" s="98">
        <v>868181.81818181823</v>
      </c>
      <c r="C53" s="97">
        <v>594</v>
      </c>
      <c r="D53" s="99">
        <v>20.792079207920793</v>
      </c>
      <c r="E53" s="98">
        <v>14385.68457179767</v>
      </c>
    </row>
    <row r="54" spans="1:16" x14ac:dyDescent="0.25">
      <c r="A54" s="97">
        <v>595</v>
      </c>
      <c r="B54" s="98">
        <v>954545.45454545459</v>
      </c>
      <c r="C54" s="97">
        <v>595</v>
      </c>
      <c r="D54" s="99">
        <v>22.772277227722775</v>
      </c>
      <c r="E54" s="98">
        <v>15790.138532148721</v>
      </c>
    </row>
    <row r="55" spans="1:16" x14ac:dyDescent="0.25">
      <c r="A55" s="97">
        <v>596</v>
      </c>
      <c r="B55" s="98">
        <v>1045454.5454545454</v>
      </c>
      <c r="C55" s="97">
        <v>596</v>
      </c>
      <c r="D55" s="99">
        <v>24.950495049504951</v>
      </c>
      <c r="E55" s="98">
        <v>17264.944535990351</v>
      </c>
    </row>
    <row r="56" spans="1:16" x14ac:dyDescent="0.25">
      <c r="A56" s="97">
        <v>597</v>
      </c>
      <c r="B56" s="98">
        <v>1145454.5454545454</v>
      </c>
      <c r="C56" s="97">
        <v>597</v>
      </c>
      <c r="D56" s="99">
        <v>27.227722772277229</v>
      </c>
      <c r="E56" s="98">
        <v>18884.688294730629</v>
      </c>
    </row>
    <row r="57" spans="1:16" x14ac:dyDescent="0.25">
      <c r="A57" s="97">
        <v>598</v>
      </c>
      <c r="B57" s="98">
        <v>1250000</v>
      </c>
      <c r="C57" s="97">
        <v>598</v>
      </c>
      <c r="D57" s="99">
        <v>29.702970297029701</v>
      </c>
      <c r="E57" s="98">
        <v>20573.828773075606</v>
      </c>
    </row>
    <row r="58" spans="1:16" x14ac:dyDescent="0.25">
      <c r="A58" s="97">
        <v>599</v>
      </c>
      <c r="B58" s="98">
        <v>1363636.3636363635</v>
      </c>
      <c r="C58" s="97">
        <v>599</v>
      </c>
      <c r="D58" s="99">
        <v>31.683168316831683</v>
      </c>
      <c r="E58" s="98">
        <v>22406.707432932242</v>
      </c>
    </row>
    <row r="59" spans="1:16" x14ac:dyDescent="0.25">
      <c r="A59" s="97">
        <v>600</v>
      </c>
      <c r="B59" s="98">
        <v>1454545.4545454546</v>
      </c>
      <c r="C59" s="97">
        <v>600</v>
      </c>
      <c r="D59" s="99">
        <v>34.158415841584159</v>
      </c>
      <c r="E59" s="98">
        <v>23860.653781913625</v>
      </c>
      <c r="F59" s="14"/>
      <c r="G59" s="14"/>
      <c r="H59" s="14"/>
    </row>
    <row r="60" spans="1:16" x14ac:dyDescent="0.25">
      <c r="A60" s="97">
        <v>601</v>
      </c>
      <c r="B60" s="98">
        <v>1568181.8181818181</v>
      </c>
      <c r="C60" s="97">
        <v>601</v>
      </c>
      <c r="D60" s="99">
        <v>36.633663366336634</v>
      </c>
      <c r="E60" s="98">
        <v>25681.964085150375</v>
      </c>
      <c r="F60" s="14"/>
      <c r="G60" s="14"/>
      <c r="H60" s="14"/>
    </row>
    <row r="61" spans="1:16" x14ac:dyDescent="0.25">
      <c r="A61" s="97">
        <v>602</v>
      </c>
      <c r="B61" s="98">
        <v>1681818.1818181819</v>
      </c>
      <c r="C61" s="97">
        <v>602</v>
      </c>
      <c r="D61" s="99">
        <v>39.603960396039604</v>
      </c>
      <c r="E61" s="98">
        <v>27497.223523592322</v>
      </c>
      <c r="F61" s="14"/>
      <c r="G61" s="14"/>
      <c r="H61" s="14"/>
    </row>
    <row r="62" spans="1:16" x14ac:dyDescent="0.25">
      <c r="A62" s="97">
        <v>603</v>
      </c>
      <c r="B62" s="98">
        <v>1818181.8181818181</v>
      </c>
      <c r="C62" s="97">
        <v>603</v>
      </c>
      <c r="D62" s="99">
        <v>42.574257425742573</v>
      </c>
      <c r="E62" s="98">
        <v>29677.430077006993</v>
      </c>
      <c r="F62" s="14"/>
      <c r="G62" s="14"/>
      <c r="H62" s="14"/>
    </row>
    <row r="63" spans="1:16" x14ac:dyDescent="0.25">
      <c r="A63" s="97">
        <v>604</v>
      </c>
      <c r="B63" s="98">
        <v>1954545.4545454546</v>
      </c>
      <c r="C63" s="97">
        <v>604</v>
      </c>
      <c r="D63" s="99">
        <v>44.752475247524757</v>
      </c>
      <c r="E63" s="98">
        <v>31850.417403423609</v>
      </c>
      <c r="F63" s="14"/>
      <c r="G63" s="14"/>
      <c r="H63" s="14"/>
    </row>
    <row r="64" spans="1:16" x14ac:dyDescent="0.25">
      <c r="A64" s="97">
        <v>605</v>
      </c>
      <c r="B64" s="98">
        <v>2054545.4545454546</v>
      </c>
      <c r="C64" s="97">
        <v>605</v>
      </c>
      <c r="D64" s="99">
        <v>49.207920792079207</v>
      </c>
      <c r="E64" s="98">
        <v>33424.634843259169</v>
      </c>
      <c r="F64" s="14"/>
      <c r="G64" s="14"/>
      <c r="H64" s="14"/>
    </row>
    <row r="65" spans="1:8" x14ac:dyDescent="0.25">
      <c r="A65" s="97">
        <v>606</v>
      </c>
      <c r="B65" s="98">
        <v>2259090.9090909092</v>
      </c>
      <c r="C65" s="97">
        <v>606</v>
      </c>
      <c r="D65" s="99">
        <v>52.277227722772281</v>
      </c>
      <c r="E65" s="98">
        <v>36691.661292113466</v>
      </c>
      <c r="F65" s="14"/>
      <c r="G65" s="14"/>
      <c r="H65" s="14"/>
    </row>
    <row r="66" spans="1:8" x14ac:dyDescent="0.25">
      <c r="A66" s="97">
        <v>607</v>
      </c>
      <c r="B66" s="98">
        <v>2400000</v>
      </c>
      <c r="C66" s="97">
        <v>607</v>
      </c>
      <c r="D66" s="99">
        <v>55.445544554455452</v>
      </c>
      <c r="E66" s="98">
        <v>38916.058062758631</v>
      </c>
      <c r="F66" s="14"/>
      <c r="G66" s="14"/>
      <c r="H66" s="14"/>
    </row>
    <row r="67" spans="1:8" x14ac:dyDescent="0.25">
      <c r="A67" s="97">
        <v>608</v>
      </c>
      <c r="B67" s="98">
        <v>2545454.5454545454</v>
      </c>
      <c r="C67" s="97">
        <v>608</v>
      </c>
      <c r="D67" s="99">
        <v>59.207920792079207</v>
      </c>
      <c r="E67" s="98">
        <v>41206.721169423203</v>
      </c>
    </row>
    <row r="68" spans="1:8" x14ac:dyDescent="0.25">
      <c r="A68" s="97">
        <v>609</v>
      </c>
      <c r="B68" s="98">
        <v>2718181.8181818184</v>
      </c>
      <c r="C68" s="97">
        <v>609</v>
      </c>
      <c r="D68" s="99">
        <v>61.881188118811878</v>
      </c>
      <c r="E68" s="98">
        <v>43930.637196996147</v>
      </c>
    </row>
    <row r="69" spans="1:8" x14ac:dyDescent="0.25">
      <c r="A69" s="97">
        <v>610</v>
      </c>
      <c r="B69" s="98">
        <v>2840909.0909090908</v>
      </c>
      <c r="C69" s="97">
        <v>610</v>
      </c>
      <c r="D69" s="99">
        <v>65.346534653465355</v>
      </c>
      <c r="E69" s="98">
        <v>45838.858443737758</v>
      </c>
    </row>
    <row r="70" spans="1:8" x14ac:dyDescent="0.25">
      <c r="A70" s="97">
        <v>611</v>
      </c>
      <c r="B70" s="98">
        <v>3000000</v>
      </c>
      <c r="C70" s="97">
        <v>611</v>
      </c>
      <c r="D70" s="99">
        <v>69.10891089108911</v>
      </c>
      <c r="E70" s="98">
        <v>48326.610564841423</v>
      </c>
    </row>
    <row r="71" spans="1:8" x14ac:dyDescent="0.25">
      <c r="A71" s="97">
        <v>612</v>
      </c>
      <c r="B71" s="98">
        <v>3172727.2727272729</v>
      </c>
      <c r="C71" s="97">
        <v>612</v>
      </c>
      <c r="D71" s="99">
        <v>73.069306930693074</v>
      </c>
      <c r="E71" s="98">
        <v>51025.540256665779</v>
      </c>
    </row>
    <row r="72" spans="1:8" x14ac:dyDescent="0.25">
      <c r="A72" s="97">
        <v>613</v>
      </c>
      <c r="B72" s="98">
        <v>3354545.4545454546</v>
      </c>
      <c r="C72" s="97">
        <v>613</v>
      </c>
      <c r="D72" s="99">
        <v>76.732673267326732</v>
      </c>
      <c r="E72" s="98">
        <v>53861.630784213667</v>
      </c>
    </row>
    <row r="73" spans="1:8" x14ac:dyDescent="0.25">
      <c r="A73" s="97">
        <v>614</v>
      </c>
      <c r="B73" s="98">
        <v>3522727.2727272729</v>
      </c>
      <c r="C73" s="97">
        <v>614</v>
      </c>
      <c r="D73" s="99">
        <v>80.396039603960403</v>
      </c>
      <c r="E73" s="98">
        <v>56469.890108865206</v>
      </c>
    </row>
    <row r="74" spans="1:8" x14ac:dyDescent="0.25">
      <c r="A74" s="97">
        <v>615</v>
      </c>
      <c r="B74" s="98">
        <v>3690909.0909090908</v>
      </c>
      <c r="C74" s="97">
        <v>615</v>
      </c>
      <c r="D74" s="99">
        <v>84.950495049504951</v>
      </c>
      <c r="E74" s="98">
        <v>59069.667289371537</v>
      </c>
    </row>
    <row r="75" spans="1:8" x14ac:dyDescent="0.25">
      <c r="A75" s="97">
        <v>616</v>
      </c>
      <c r="B75" s="98">
        <v>3900000</v>
      </c>
      <c r="C75" s="97">
        <v>616</v>
      </c>
      <c r="D75" s="99">
        <v>89.10891089108911</v>
      </c>
      <c r="E75" s="98">
        <v>62314.653850086921</v>
      </c>
    </row>
    <row r="76" spans="1:8" x14ac:dyDescent="0.25">
      <c r="A76" s="97">
        <v>617</v>
      </c>
      <c r="B76" s="98">
        <v>4090909.0909090908</v>
      </c>
      <c r="C76" s="97">
        <v>617</v>
      </c>
      <c r="D76" s="99">
        <v>93.069306930693074</v>
      </c>
      <c r="E76" s="98">
        <v>65259.081453775114</v>
      </c>
    </row>
    <row r="77" spans="1:8" x14ac:dyDescent="0.25">
      <c r="A77" s="97">
        <v>618</v>
      </c>
      <c r="B77" s="98">
        <v>4272727.2727272725</v>
      </c>
      <c r="C77" s="97">
        <v>618</v>
      </c>
      <c r="D77" s="99">
        <v>97.524752475247524</v>
      </c>
      <c r="E77" s="98">
        <v>68049.194645020645</v>
      </c>
    </row>
    <row r="78" spans="1:8" x14ac:dyDescent="0.25">
      <c r="A78" s="97">
        <v>619</v>
      </c>
      <c r="B78" s="98">
        <v>4477272.7272727275</v>
      </c>
      <c r="C78" s="97">
        <v>619</v>
      </c>
      <c r="D78" s="99">
        <v>100</v>
      </c>
      <c r="E78" s="98">
        <v>71191.671976529455</v>
      </c>
    </row>
  </sheetData>
  <mergeCells count="5">
    <mergeCell ref="A33:E33"/>
    <mergeCell ref="A1:H1"/>
    <mergeCell ref="L18:O18"/>
    <mergeCell ref="Q1:AA1"/>
    <mergeCell ref="A17:H1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71"/>
  <sheetViews>
    <sheetView zoomScale="85" zoomScaleNormal="85" workbookViewId="0">
      <selection activeCell="H10" sqref="A4:H10"/>
    </sheetView>
  </sheetViews>
  <sheetFormatPr defaultColWidth="14.28515625" defaultRowHeight="12.75" x14ac:dyDescent="0.25"/>
  <cols>
    <col min="1" max="9" width="14.28515625" style="6"/>
    <col min="10" max="15" width="14.28515625" style="73"/>
    <col min="16" max="16384" width="14.28515625" style="6"/>
  </cols>
  <sheetData>
    <row r="1" spans="1:27" ht="30" x14ac:dyDescent="0.25">
      <c r="A1" s="219" t="s">
        <v>123</v>
      </c>
      <c r="B1" s="219"/>
      <c r="C1" s="219"/>
      <c r="D1" s="219"/>
      <c r="E1" s="219"/>
      <c r="F1" s="219"/>
      <c r="G1" s="219"/>
      <c r="H1" s="219"/>
      <c r="Q1" s="218" t="s">
        <v>44</v>
      </c>
      <c r="R1" s="218"/>
      <c r="S1" s="218"/>
      <c r="T1" s="218"/>
      <c r="U1" s="218"/>
      <c r="V1" s="218"/>
      <c r="W1" s="218"/>
      <c r="X1" s="218"/>
      <c r="Y1" s="218"/>
      <c r="Z1" s="218"/>
      <c r="AA1" s="218"/>
    </row>
    <row r="2" spans="1:27" s="8" customFormat="1" ht="76.5" x14ac:dyDescent="0.25">
      <c r="A2" s="55">
        <f>'Caroni '!A2</f>
        <v>2018</v>
      </c>
      <c r="B2" s="1" t="s">
        <v>43</v>
      </c>
      <c r="C2" s="1" t="s">
        <v>118</v>
      </c>
      <c r="D2" s="1" t="s">
        <v>18</v>
      </c>
      <c r="E2" s="1" t="s">
        <v>39</v>
      </c>
      <c r="F2" s="1" t="s">
        <v>15</v>
      </c>
      <c r="G2" s="1" t="s">
        <v>16</v>
      </c>
      <c r="H2" s="1" t="s">
        <v>17</v>
      </c>
      <c r="Q2" s="28" t="s">
        <v>0</v>
      </c>
      <c r="R2" s="28" t="s">
        <v>90</v>
      </c>
      <c r="S2" s="28" t="s">
        <v>31</v>
      </c>
      <c r="T2" s="28" t="s">
        <v>32</v>
      </c>
      <c r="U2" s="71" t="s">
        <v>83</v>
      </c>
      <c r="V2" s="28" t="s">
        <v>26</v>
      </c>
      <c r="W2" s="28" t="s">
        <v>103</v>
      </c>
      <c r="X2" s="28" t="s">
        <v>25</v>
      </c>
      <c r="Y2" s="28" t="s">
        <v>27</v>
      </c>
      <c r="Z2" s="28" t="s">
        <v>28</v>
      </c>
      <c r="AA2" s="28" t="s">
        <v>22</v>
      </c>
    </row>
    <row r="3" spans="1:27" x14ac:dyDescent="0.25">
      <c r="A3" s="29" t="str">
        <f>'Caroni '!A3</f>
        <v>Jan 31st</v>
      </c>
      <c r="B3" s="106" t="s">
        <v>115</v>
      </c>
      <c r="C3" s="106" t="s">
        <v>115</v>
      </c>
      <c r="D3" s="84">
        <v>870</v>
      </c>
      <c r="E3" s="82">
        <v>100</v>
      </c>
      <c r="F3" s="106" t="s">
        <v>115</v>
      </c>
      <c r="G3" s="106" t="s">
        <v>115</v>
      </c>
      <c r="H3" s="106" t="s">
        <v>115</v>
      </c>
      <c r="I3" s="73"/>
      <c r="Q3" s="29" t="s">
        <v>4</v>
      </c>
      <c r="R3" s="29">
        <f>'Caroni '!T3</f>
        <v>31</v>
      </c>
      <c r="S3" s="13">
        <f>IF(T14&gt;$B$60,$B$60,T14)</f>
        <v>1022727.2727272727</v>
      </c>
      <c r="T3" s="13">
        <f t="shared" ref="T3:T14" si="0">IF(_xlfn.ISFORMULA(E3)=TRUE, AA3+S3,E3/100*$O$21)</f>
        <v>1022727.28</v>
      </c>
      <c r="U3" s="31">
        <f>IF(_xlfn.ISFORMULA(D14)=TRUE,IF(S19=T19,W27,T19+((S3-U19)/(V19-U19))),D14)</f>
        <v>870</v>
      </c>
      <c r="V3" s="32" t="e">
        <f>B3/1000*$O$19*$O$20</f>
        <v>#VALUE!</v>
      </c>
      <c r="W3" s="48">
        <v>3.4225806451612904E-3</v>
      </c>
      <c r="X3" s="32">
        <f t="shared" ref="X3:X14" si="1">AA19*W3*R3</f>
        <v>1227.6152099326143</v>
      </c>
      <c r="Y3" s="32" t="e">
        <f>C3*1000000/$O$23</f>
        <v>#VALUE!</v>
      </c>
      <c r="Z3" s="32" t="e">
        <f t="shared" ref="Z3:Z14" si="2">Y3*R3</f>
        <v>#VALUE!</v>
      </c>
      <c r="AA3" s="32" t="e">
        <f t="shared" ref="AA3:AA14" si="3">V3 -X3-Z3</f>
        <v>#VALUE!</v>
      </c>
    </row>
    <row r="4" spans="1:27" x14ac:dyDescent="0.25">
      <c r="A4" s="29" t="str">
        <f>'Caroni '!A4</f>
        <v>Feb 28th</v>
      </c>
      <c r="B4" s="106" t="s">
        <v>115</v>
      </c>
      <c r="C4" s="106" t="s">
        <v>115</v>
      </c>
      <c r="D4" s="84">
        <v>870</v>
      </c>
      <c r="E4" s="82">
        <v>100</v>
      </c>
      <c r="F4" s="106" t="s">
        <v>115</v>
      </c>
      <c r="G4" s="106" t="s">
        <v>115</v>
      </c>
      <c r="H4" s="106" t="s">
        <v>115</v>
      </c>
      <c r="I4" s="73"/>
      <c r="Q4" s="29" t="s">
        <v>5</v>
      </c>
      <c r="R4" s="29">
        <f>'Caroni '!T4</f>
        <v>28</v>
      </c>
      <c r="S4" s="13">
        <f t="shared" ref="S4:S14" si="4">IF(T3&gt;$B$60,$B$60,T3)</f>
        <v>1022727.2727272727</v>
      </c>
      <c r="T4" s="13">
        <f t="shared" si="0"/>
        <v>1022727.28</v>
      </c>
      <c r="U4" s="31">
        <f>IF(_xlfn.ISFORMULA(D3)=TRUE,IF(S20=T20,W28,T20+((S4-U20)/(V20-U20))),D3)</f>
        <v>870</v>
      </c>
      <c r="V4" s="32" t="e">
        <f t="shared" ref="V4:V13" si="5">B4/1000*$O$19*$O$20</f>
        <v>#VALUE!</v>
      </c>
      <c r="W4" s="48">
        <v>3.6213793103448276E-3</v>
      </c>
      <c r="X4" s="32">
        <f t="shared" si="1"/>
        <v>1173.2185581980073</v>
      </c>
      <c r="Y4" s="32" t="e">
        <f t="shared" ref="Y4:Y15" si="6">C4*1000000/$O$23</f>
        <v>#VALUE!</v>
      </c>
      <c r="Z4" s="32" t="e">
        <f t="shared" si="2"/>
        <v>#VALUE!</v>
      </c>
      <c r="AA4" s="32" t="e">
        <f t="shared" si="3"/>
        <v>#VALUE!</v>
      </c>
    </row>
    <row r="5" spans="1:27" x14ac:dyDescent="0.25">
      <c r="A5" s="29" t="str">
        <f>'Caroni '!A5</f>
        <v>Mar 31st</v>
      </c>
      <c r="B5" s="156">
        <v>72</v>
      </c>
      <c r="C5" s="160">
        <v>1.4</v>
      </c>
      <c r="D5" s="84">
        <f t="shared" ref="D5:D8" si="7">U6</f>
        <v>868.15214781673058</v>
      </c>
      <c r="E5" s="82">
        <f t="shared" ref="E5:E8" si="8">(S6/$B$60)*100</f>
        <v>88.637495585639627</v>
      </c>
      <c r="F5" s="4">
        <f t="shared" ref="F5:F8" si="9">(S6*$O$23)/1000000</f>
        <v>199.43436506768916</v>
      </c>
      <c r="G5" s="5">
        <f t="shared" ref="G5" si="10">D5-$O$22</f>
        <v>20.152147816730576</v>
      </c>
      <c r="H5" s="32">
        <f t="shared" ref="H5:H8" si="11">(S6-$O$24/$O$23)/(Y5)</f>
        <v>117.45311790549225</v>
      </c>
      <c r="I5" s="73"/>
      <c r="Q5" s="29" t="s">
        <v>6</v>
      </c>
      <c r="R5" s="29">
        <f>'Caroni '!T5</f>
        <v>31</v>
      </c>
      <c r="S5" s="13">
        <f t="shared" si="4"/>
        <v>1022727.2727272727</v>
      </c>
      <c r="T5" s="13">
        <f t="shared" si="0"/>
        <v>906519.84121676884</v>
      </c>
      <c r="U5" s="31">
        <f>IF(_xlfn.ISFORMULA(D4)=TRUE,IF(S21=T21,W29,T21+((S5-U21)/(V21-U21))),D4)</f>
        <v>870</v>
      </c>
      <c r="V5" s="32">
        <f t="shared" si="5"/>
        <v>82561.111919999981</v>
      </c>
      <c r="W5" s="48">
        <v>4.1703225806451619E-3</v>
      </c>
      <c r="X5" s="32">
        <f t="shared" si="1"/>
        <v>1495.8161577765165</v>
      </c>
      <c r="Y5" s="32">
        <f t="shared" si="6"/>
        <v>6363.636363636364</v>
      </c>
      <c r="Z5" s="32">
        <f t="shared" si="2"/>
        <v>197272.72727272729</v>
      </c>
      <c r="AA5" s="32">
        <f t="shared" si="3"/>
        <v>-116207.43151050383</v>
      </c>
    </row>
    <row r="6" spans="1:27" x14ac:dyDescent="0.25">
      <c r="A6" s="29" t="str">
        <f>'Caroni '!A6</f>
        <v>April 30th</v>
      </c>
      <c r="B6" s="156">
        <v>74</v>
      </c>
      <c r="C6" s="160">
        <v>1.4</v>
      </c>
      <c r="D6" s="84">
        <f t="shared" si="7"/>
        <v>866.16269957237023</v>
      </c>
      <c r="E6" s="82">
        <f t="shared" si="8"/>
        <v>78.128753464920948</v>
      </c>
      <c r="F6" s="4">
        <f t="shared" si="9"/>
        <v>175.78969529607213</v>
      </c>
      <c r="G6" s="5">
        <f t="shared" ref="G6:G7" si="12">D6-$O$22</f>
        <v>18.162699572370229</v>
      </c>
      <c r="H6" s="32">
        <f t="shared" si="11"/>
        <v>100.56406806862294</v>
      </c>
      <c r="I6" s="73"/>
      <c r="Q6" s="29" t="s">
        <v>7</v>
      </c>
      <c r="R6" s="29">
        <f>'Caroni '!T6</f>
        <v>30</v>
      </c>
      <c r="S6" s="13">
        <f t="shared" si="4"/>
        <v>906519.84121676884</v>
      </c>
      <c r="T6" s="13">
        <f t="shared" si="0"/>
        <v>799044.06952760054</v>
      </c>
      <c r="U6" s="31">
        <f>IF(_xlfn.ISFORMULA(D5)=TRUE,IF(S22=T22,W30,T22+((S6-U22)/(V22-U22))),D5)</f>
        <v>868.15214781673058</v>
      </c>
      <c r="V6" s="32">
        <f t="shared" si="5"/>
        <v>84854.476139999999</v>
      </c>
      <c r="W6" s="48">
        <v>4.6093333333333325E-3</v>
      </c>
      <c r="X6" s="32">
        <f t="shared" si="1"/>
        <v>1421.1569200773797</v>
      </c>
      <c r="Y6" s="32">
        <f t="shared" si="6"/>
        <v>6363.636363636364</v>
      </c>
      <c r="Z6" s="32">
        <f t="shared" si="2"/>
        <v>190909.09090909091</v>
      </c>
      <c r="AA6" s="32">
        <f t="shared" si="3"/>
        <v>-107475.77168916829</v>
      </c>
    </row>
    <row r="7" spans="1:27" x14ac:dyDescent="0.25">
      <c r="A7" s="29" t="str">
        <f>'Caroni '!A7</f>
        <v>May 31st</v>
      </c>
      <c r="B7" s="156">
        <v>56</v>
      </c>
      <c r="C7" s="160">
        <v>1.5</v>
      </c>
      <c r="D7" s="84">
        <f t="shared" si="7"/>
        <v>862.904018240553</v>
      </c>
      <c r="E7" s="82">
        <f t="shared" si="8"/>
        <v>63.616072962211845</v>
      </c>
      <c r="F7" s="4">
        <f t="shared" si="9"/>
        <v>143.13616416497663</v>
      </c>
      <c r="G7" s="5">
        <f t="shared" si="12"/>
        <v>14.904018240553</v>
      </c>
      <c r="H7" s="32">
        <f t="shared" si="11"/>
        <v>72.090776109984432</v>
      </c>
      <c r="Q7" s="29" t="s">
        <v>2</v>
      </c>
      <c r="R7" s="29">
        <f>'Caroni '!T7</f>
        <v>31</v>
      </c>
      <c r="S7" s="13">
        <f t="shared" si="4"/>
        <v>799044.06952760054</v>
      </c>
      <c r="T7" s="13">
        <f t="shared" si="0"/>
        <v>650618.92802262108</v>
      </c>
      <c r="U7" s="31">
        <f>IF(_xlfn.ISFORMULA(D6)=TRUE,IF(S23=T23,#REF!,T23+((S7-U23)/(V23-U23))),D6)</f>
        <v>866.16269957237023</v>
      </c>
      <c r="V7" s="32">
        <f t="shared" si="5"/>
        <v>64214.19816</v>
      </c>
      <c r="W7" s="48">
        <v>4.5322580645161294E-3</v>
      </c>
      <c r="X7" s="32">
        <f t="shared" si="1"/>
        <v>1275.7033013431035</v>
      </c>
      <c r="Y7" s="32">
        <f t="shared" si="6"/>
        <v>6818.181818181818</v>
      </c>
      <c r="Z7" s="32">
        <f t="shared" si="2"/>
        <v>211363.63636363635</v>
      </c>
      <c r="AA7" s="32">
        <f t="shared" si="3"/>
        <v>-148425.14150497946</v>
      </c>
    </row>
    <row r="8" spans="1:27" x14ac:dyDescent="0.25">
      <c r="A8" s="29" t="str">
        <f>'Caroni '!A8</f>
        <v>Jun 30th</v>
      </c>
      <c r="B8" s="106">
        <v>208</v>
      </c>
      <c r="C8" s="160">
        <v>1.5</v>
      </c>
      <c r="D8" s="84">
        <f t="shared" si="7"/>
        <v>863.53506226359866</v>
      </c>
      <c r="E8" s="82">
        <f t="shared" si="8"/>
        <v>66.853665405859303</v>
      </c>
      <c r="F8" s="4">
        <f t="shared" si="9"/>
        <v>150.42074716318342</v>
      </c>
      <c r="G8" s="5">
        <f t="shared" ref="G8" si="13">D8-$O$22</f>
        <v>15.535062263598661</v>
      </c>
      <c r="H8" s="32">
        <f t="shared" si="11"/>
        <v>76.947164775455619</v>
      </c>
      <c r="Q8" s="29" t="s">
        <v>8</v>
      </c>
      <c r="R8" s="29">
        <f>'Caroni '!T8</f>
        <v>30</v>
      </c>
      <c r="S8" s="13">
        <f t="shared" si="4"/>
        <v>650618.92802262108</v>
      </c>
      <c r="T8" s="13">
        <f t="shared" si="0"/>
        <v>683730.668923561</v>
      </c>
      <c r="U8" s="31">
        <f>IF(_xlfn.ISFORMULA(D7)=TRUE,IF(S24=T24,W31,T24+((S8-U24)/(V24-U24))),D7)</f>
        <v>862.904018240553</v>
      </c>
      <c r="V8" s="32">
        <f t="shared" si="5"/>
        <v>238509.87887999997</v>
      </c>
      <c r="W8" s="48">
        <v>3.8300000000000001E-3</v>
      </c>
      <c r="X8" s="32">
        <f t="shared" si="1"/>
        <v>852.68343360550364</v>
      </c>
      <c r="Y8" s="32">
        <f t="shared" si="6"/>
        <v>6818.181818181818</v>
      </c>
      <c r="Z8" s="32">
        <f t="shared" si="2"/>
        <v>204545.45454545453</v>
      </c>
      <c r="AA8" s="32">
        <f t="shared" si="3"/>
        <v>33111.740900939942</v>
      </c>
    </row>
    <row r="9" spans="1:27" x14ac:dyDescent="0.25">
      <c r="A9" s="29" t="str">
        <f>'Caroni '!A9</f>
        <v>Jul 31st</v>
      </c>
      <c r="B9" s="106">
        <v>178</v>
      </c>
      <c r="C9" s="160">
        <v>1.5</v>
      </c>
      <c r="D9" s="84">
        <f t="shared" ref="D9" si="14">U10</f>
        <v>863.3854752203697</v>
      </c>
      <c r="E9" s="82">
        <f t="shared" ref="E9" si="15">(S10/$B$60)*100</f>
        <v>66.055867841971576</v>
      </c>
      <c r="F9" s="4">
        <f t="shared" ref="F9" si="16">(S10*$O$23)/1000000</f>
        <v>148.62570264443607</v>
      </c>
      <c r="G9" s="5">
        <f t="shared" ref="G9" si="17">D9-$O$22</f>
        <v>15.385475220369699</v>
      </c>
      <c r="H9" s="32">
        <f t="shared" ref="H9" si="18">(S10-$O$24/$O$23)/(Y9)</f>
        <v>75.75046842962405</v>
      </c>
      <c r="Q9" s="29" t="s">
        <v>9</v>
      </c>
      <c r="R9" s="29">
        <f>'Caroni '!T9</f>
        <v>31</v>
      </c>
      <c r="S9" s="13">
        <f t="shared" si="4"/>
        <v>683730.668923561</v>
      </c>
      <c r="T9" s="13">
        <f t="shared" si="0"/>
        <v>675571.37565652758</v>
      </c>
      <c r="U9" s="31">
        <f t="shared" ref="U9:U14" si="19">IF(_xlfn.ISFORMULA(D8)=TRUE,IF(S25=T25,A33,T25+((S9-U25)/(V25-U25))),D8)</f>
        <v>863.53506226359866</v>
      </c>
      <c r="V9" s="32">
        <f t="shared" si="5"/>
        <v>204109.41558</v>
      </c>
      <c r="W9" s="48">
        <v>3.7464516129032256E-3</v>
      </c>
      <c r="X9" s="32">
        <f t="shared" si="1"/>
        <v>905.07248339705563</v>
      </c>
      <c r="Y9" s="32">
        <f t="shared" si="6"/>
        <v>6818.181818181818</v>
      </c>
      <c r="Z9" s="32">
        <f t="shared" si="2"/>
        <v>211363.63636363635</v>
      </c>
      <c r="AA9" s="32">
        <f t="shared" si="3"/>
        <v>-8159.2932670334121</v>
      </c>
    </row>
    <row r="10" spans="1:27" x14ac:dyDescent="0.25">
      <c r="A10" s="29" t="str">
        <f>'Caroni '!A10</f>
        <v>Aug 31st</v>
      </c>
      <c r="B10" s="106">
        <v>256</v>
      </c>
      <c r="C10" s="160">
        <v>1.5</v>
      </c>
      <c r="D10" s="84">
        <f t="shared" ref="D10" si="20">U11</f>
        <v>864.87561002455323</v>
      </c>
      <c r="E10" s="82">
        <f t="shared" ref="E10" si="21">(S11/$B$60)*100</f>
        <v>74.003253464283802</v>
      </c>
      <c r="F10" s="4">
        <f t="shared" ref="F10" si="22">(S11*$O$23)/1000000</f>
        <v>166.50732029463853</v>
      </c>
      <c r="G10" s="5">
        <f t="shared" ref="G10" si="23">D10-$O$22</f>
        <v>16.875610024553225</v>
      </c>
      <c r="H10" s="32">
        <f t="shared" ref="H10" si="24">(S11-$O$24/$O$23)/(Y10)</f>
        <v>87.671546863092374</v>
      </c>
      <c r="Q10" s="29" t="s">
        <v>11</v>
      </c>
      <c r="R10" s="29">
        <f>'Caroni '!T10</f>
        <v>31</v>
      </c>
      <c r="S10" s="13">
        <f t="shared" si="4"/>
        <v>675571.37565652758</v>
      </c>
      <c r="T10" s="13">
        <f t="shared" si="0"/>
        <v>756851.45588472066</v>
      </c>
      <c r="U10" s="31">
        <f t="shared" si="19"/>
        <v>863.3854752203697</v>
      </c>
      <c r="V10" s="32">
        <f t="shared" si="5"/>
        <v>293550.62015999999</v>
      </c>
      <c r="W10" s="48">
        <v>3.7987096774193549E-3</v>
      </c>
      <c r="X10" s="32">
        <f t="shared" si="1"/>
        <v>906.90356817062923</v>
      </c>
      <c r="Y10" s="32">
        <f t="shared" si="6"/>
        <v>6818.181818181818</v>
      </c>
      <c r="Z10" s="32">
        <f t="shared" si="2"/>
        <v>211363.63636363635</v>
      </c>
      <c r="AA10" s="32">
        <f t="shared" si="3"/>
        <v>81280.080228193023</v>
      </c>
    </row>
    <row r="11" spans="1:27" x14ac:dyDescent="0.25">
      <c r="A11" s="29" t="str">
        <f>'Caroni '!A11</f>
        <v>Sep 30th</v>
      </c>
      <c r="B11" s="106" t="s">
        <v>115</v>
      </c>
      <c r="C11" s="106" t="s">
        <v>115</v>
      </c>
      <c r="D11" s="84">
        <v>870</v>
      </c>
      <c r="E11" s="82">
        <v>100</v>
      </c>
      <c r="F11" s="106" t="s">
        <v>115</v>
      </c>
      <c r="G11" s="106" t="s">
        <v>115</v>
      </c>
      <c r="H11" s="106" t="s">
        <v>115</v>
      </c>
      <c r="Q11" s="29" t="s">
        <v>12</v>
      </c>
      <c r="R11" s="29">
        <f>'Caroni '!T11</f>
        <v>30</v>
      </c>
      <c r="S11" s="13">
        <f t="shared" si="4"/>
        <v>756851.45588472066</v>
      </c>
      <c r="T11" s="13">
        <f t="shared" si="0"/>
        <v>1022727.28</v>
      </c>
      <c r="U11" s="31">
        <f t="shared" si="19"/>
        <v>864.87561002455323</v>
      </c>
      <c r="V11" s="32" t="e">
        <f t="shared" si="5"/>
        <v>#VALUE!</v>
      </c>
      <c r="W11" s="48">
        <v>3.803333333333333E-3</v>
      </c>
      <c r="X11" s="32">
        <f t="shared" si="1"/>
        <v>21076.437899999997</v>
      </c>
      <c r="Y11" s="32" t="e">
        <f t="shared" si="6"/>
        <v>#VALUE!</v>
      </c>
      <c r="Z11" s="32" t="e">
        <f t="shared" si="2"/>
        <v>#VALUE!</v>
      </c>
      <c r="AA11" s="32" t="e">
        <f t="shared" si="3"/>
        <v>#VALUE!</v>
      </c>
    </row>
    <row r="12" spans="1:27" x14ac:dyDescent="0.25">
      <c r="A12" s="29" t="str">
        <f>'Caroni '!A12</f>
        <v>Oct 31st</v>
      </c>
      <c r="B12" s="106" t="s">
        <v>115</v>
      </c>
      <c r="C12" s="106" t="s">
        <v>115</v>
      </c>
      <c r="D12" s="84">
        <v>870</v>
      </c>
      <c r="E12" s="82">
        <v>100</v>
      </c>
      <c r="F12" s="106" t="s">
        <v>115</v>
      </c>
      <c r="G12" s="106" t="s">
        <v>115</v>
      </c>
      <c r="H12" s="106" t="s">
        <v>115</v>
      </c>
      <c r="Q12" s="29" t="s">
        <v>13</v>
      </c>
      <c r="R12" s="29">
        <f>'Caroni '!T12</f>
        <v>31</v>
      </c>
      <c r="S12" s="13">
        <f t="shared" si="4"/>
        <v>1022727.2727272727</v>
      </c>
      <c r="T12" s="13">
        <f t="shared" si="0"/>
        <v>1022727.28</v>
      </c>
      <c r="U12" s="31">
        <f t="shared" si="19"/>
        <v>870</v>
      </c>
      <c r="V12" s="32" t="e">
        <f t="shared" si="5"/>
        <v>#VALUE!</v>
      </c>
      <c r="W12" s="48">
        <v>3.3587096774193551E-3</v>
      </c>
      <c r="X12" s="32">
        <f t="shared" si="1"/>
        <v>1204.7058968726087</v>
      </c>
      <c r="Y12" s="32" t="e">
        <f t="shared" si="6"/>
        <v>#VALUE!</v>
      </c>
      <c r="Z12" s="32" t="e">
        <f t="shared" si="2"/>
        <v>#VALUE!</v>
      </c>
      <c r="AA12" s="32" t="e">
        <f t="shared" si="3"/>
        <v>#VALUE!</v>
      </c>
    </row>
    <row r="13" spans="1:27" x14ac:dyDescent="0.25">
      <c r="A13" s="29" t="str">
        <f>'Caroni '!A13</f>
        <v>Nov 30th</v>
      </c>
      <c r="B13" s="106" t="s">
        <v>115</v>
      </c>
      <c r="C13" s="106" t="s">
        <v>115</v>
      </c>
      <c r="D13" s="84">
        <v>870</v>
      </c>
      <c r="E13" s="82">
        <v>100</v>
      </c>
      <c r="F13" s="106" t="s">
        <v>115</v>
      </c>
      <c r="G13" s="106" t="s">
        <v>115</v>
      </c>
      <c r="H13" s="106" t="s">
        <v>115</v>
      </c>
      <c r="Q13" s="29" t="s">
        <v>14</v>
      </c>
      <c r="R13" s="29">
        <f>'Caroni '!T13</f>
        <v>30</v>
      </c>
      <c r="S13" s="13">
        <f t="shared" si="4"/>
        <v>1022727.2727272727</v>
      </c>
      <c r="T13" s="13">
        <f t="shared" si="0"/>
        <v>1022727.28</v>
      </c>
      <c r="U13" s="31">
        <f t="shared" si="19"/>
        <v>870</v>
      </c>
      <c r="V13" s="32" t="e">
        <f t="shared" si="5"/>
        <v>#VALUE!</v>
      </c>
      <c r="W13" s="48">
        <v>3.0913333333333335E-3</v>
      </c>
      <c r="X13" s="32">
        <f t="shared" si="1"/>
        <v>1073.0351985782343</v>
      </c>
      <c r="Y13" s="32" t="e">
        <f t="shared" si="6"/>
        <v>#VALUE!</v>
      </c>
      <c r="Z13" s="32" t="e">
        <f t="shared" si="2"/>
        <v>#VALUE!</v>
      </c>
      <c r="AA13" s="32" t="e">
        <f t="shared" si="3"/>
        <v>#VALUE!</v>
      </c>
    </row>
    <row r="14" spans="1:27" x14ac:dyDescent="0.25">
      <c r="A14" s="29" t="str">
        <f>'Caroni '!A14</f>
        <v>Dec 31st</v>
      </c>
      <c r="B14" s="106" t="s">
        <v>115</v>
      </c>
      <c r="C14" s="106" t="s">
        <v>115</v>
      </c>
      <c r="D14" s="84">
        <v>870</v>
      </c>
      <c r="E14" s="82">
        <v>100</v>
      </c>
      <c r="F14" s="106" t="s">
        <v>115</v>
      </c>
      <c r="G14" s="106" t="s">
        <v>115</v>
      </c>
      <c r="H14" s="106" t="s">
        <v>115</v>
      </c>
      <c r="Q14" s="29" t="s">
        <v>3</v>
      </c>
      <c r="R14" s="29">
        <f>'Caroni '!T14</f>
        <v>31</v>
      </c>
      <c r="S14" s="13">
        <f t="shared" si="4"/>
        <v>1022727.2727272727</v>
      </c>
      <c r="T14" s="13">
        <f t="shared" si="0"/>
        <v>1022727.28</v>
      </c>
      <c r="U14" s="31">
        <f t="shared" si="19"/>
        <v>870</v>
      </c>
      <c r="V14" s="32" t="e">
        <f>B14/1000*$O$19*$O$20</f>
        <v>#VALUE!</v>
      </c>
      <c r="W14" s="120">
        <v>3.1664516129032258E-3</v>
      </c>
      <c r="X14" s="121">
        <f t="shared" si="1"/>
        <v>1135.7465504899662</v>
      </c>
      <c r="Y14" s="121" t="e">
        <f>C14*1000000/$O$23</f>
        <v>#VALUE!</v>
      </c>
      <c r="Z14" s="121" t="e">
        <f t="shared" si="2"/>
        <v>#VALUE!</v>
      </c>
      <c r="AA14" s="32" t="e">
        <f t="shared" si="3"/>
        <v>#VALUE!</v>
      </c>
    </row>
    <row r="15" spans="1:27" x14ac:dyDescent="0.25">
      <c r="B15" s="6" t="s">
        <v>126</v>
      </c>
      <c r="C15" s="6">
        <v>1.5</v>
      </c>
      <c r="R15" s="9"/>
      <c r="S15" s="12"/>
      <c r="T15" s="73"/>
      <c r="U15" s="73"/>
      <c r="V15" s="73"/>
      <c r="W15" s="122"/>
      <c r="X15" s="122"/>
      <c r="Y15" s="123">
        <f t="shared" si="6"/>
        <v>6818.181818181818</v>
      </c>
      <c r="Z15" s="124"/>
      <c r="AA15" s="73"/>
    </row>
    <row r="16" spans="1:27" x14ac:dyDescent="0.25">
      <c r="S16" s="73"/>
      <c r="T16" s="73"/>
      <c r="U16" s="73"/>
      <c r="V16" s="73"/>
      <c r="W16" s="73"/>
      <c r="X16" s="73"/>
      <c r="Y16" s="73"/>
      <c r="Z16" s="73"/>
      <c r="AA16" s="73"/>
    </row>
    <row r="17" spans="1:27" ht="16.5" thickBot="1" x14ac:dyDescent="0.3">
      <c r="A17" s="229" t="s">
        <v>87</v>
      </c>
      <c r="B17" s="230"/>
      <c r="C17" s="230"/>
      <c r="D17" s="230"/>
      <c r="E17" s="230"/>
      <c r="F17" s="230"/>
      <c r="G17" s="230"/>
      <c r="H17" s="230"/>
      <c r="I17" s="128"/>
      <c r="J17" s="68"/>
    </row>
    <row r="18" spans="1:27" ht="38.25" x14ac:dyDescent="0.25">
      <c r="A18" s="2" t="s">
        <v>20</v>
      </c>
      <c r="B18" s="39">
        <v>2001</v>
      </c>
      <c r="C18" s="86">
        <v>2017</v>
      </c>
      <c r="D18" s="113">
        <v>2015</v>
      </c>
      <c r="E18" s="2" t="s">
        <v>56</v>
      </c>
      <c r="F18" s="2" t="s">
        <v>57</v>
      </c>
      <c r="G18" s="2" t="s">
        <v>104</v>
      </c>
      <c r="H18" s="113" t="s">
        <v>127</v>
      </c>
      <c r="I18" s="6" t="s">
        <v>142</v>
      </c>
      <c r="L18" s="235" t="s">
        <v>46</v>
      </c>
      <c r="M18" s="236"/>
      <c r="N18" s="236"/>
      <c r="O18" s="237"/>
      <c r="Q18" s="28" t="s">
        <v>0</v>
      </c>
      <c r="R18" s="30" t="s">
        <v>40</v>
      </c>
      <c r="S18" s="30" t="s">
        <v>41</v>
      </c>
      <c r="T18" s="28" t="s">
        <v>42</v>
      </c>
      <c r="U18" s="30" t="s">
        <v>38</v>
      </c>
      <c r="V18" s="30" t="s">
        <v>37</v>
      </c>
      <c r="W18" s="30" t="s">
        <v>36</v>
      </c>
      <c r="X18" s="28" t="s">
        <v>33</v>
      </c>
      <c r="Y18" s="30" t="s">
        <v>35</v>
      </c>
      <c r="Z18" s="30" t="s">
        <v>34</v>
      </c>
      <c r="AA18" s="28" t="s">
        <v>10</v>
      </c>
    </row>
    <row r="19" spans="1:27" ht="14.25" x14ac:dyDescent="0.2">
      <c r="A19" s="29" t="s">
        <v>47</v>
      </c>
      <c r="B19" s="3">
        <v>865.1</v>
      </c>
      <c r="C19" s="81">
        <v>869.7</v>
      </c>
      <c r="D19" s="166">
        <v>869.9</v>
      </c>
      <c r="E19" s="3">
        <v>845.5</v>
      </c>
      <c r="F19" s="3">
        <v>870</v>
      </c>
      <c r="G19" s="3">
        <v>868.77</v>
      </c>
      <c r="H19" s="114"/>
      <c r="I19" s="6">
        <v>870</v>
      </c>
      <c r="L19" s="35" t="s">
        <v>19</v>
      </c>
      <c r="M19" s="22"/>
      <c r="N19" s="22"/>
      <c r="O19" s="37">
        <v>5460391</v>
      </c>
      <c r="Q19" s="29" t="s">
        <v>4</v>
      </c>
      <c r="R19" s="34">
        <f t="array" ref="R19">INDEX($B$35:$B$60,MATCH(MIN(ABS($B$35:$B$60-S3)),ABS($B$35:$B$60-S3),0))</f>
        <v>1022727.2727272727</v>
      </c>
      <c r="S19" s="13">
        <f t="shared" ref="S19:S30" si="25">IF(S3&gt;R19, VLOOKUP(R19,$B$35:$C$60,2)+1, VLOOKUP(R19,$B$35:$C$60,2))</f>
        <v>870</v>
      </c>
      <c r="T19" s="32">
        <f>IF(S19&gt;848,S19-1,848)</f>
        <v>869</v>
      </c>
      <c r="U19" s="13">
        <f t="shared" ref="U19:U30" si="26">VLOOKUP(T19,$A$35:$B$60,2)</f>
        <v>968181.81818181823</v>
      </c>
      <c r="V19" s="13">
        <f t="shared" ref="V19:V30" si="27">VLOOKUP(S19,$A$35:$B$60,2)</f>
        <v>1022727.2727272727</v>
      </c>
      <c r="W19" s="33">
        <f t="shared" ref="W19:W30" si="28">ROUNDUP(U3,0)</f>
        <v>870</v>
      </c>
      <c r="X19" s="32">
        <f t="shared" ref="X19:X30" si="29">VLOOKUP(W19,$C$35:$E$60,3)</f>
        <v>11570.360131315874</v>
      </c>
      <c r="Y19" s="33">
        <f t="shared" ref="Y19:Y30" si="30">ROUNDDOWN(U3,0)</f>
        <v>870</v>
      </c>
      <c r="Z19" s="32">
        <f t="shared" ref="Z19:Z30" si="31">VLOOKUP(Y19,$C$35:$E$60,3)</f>
        <v>11570.360131315874</v>
      </c>
      <c r="AA19" s="32">
        <f t="shared" ref="AA19:AA26" si="32">((X19-Z19)*(U3-Y19)+Z19)</f>
        <v>11570.360131315874</v>
      </c>
    </row>
    <row r="20" spans="1:27" x14ac:dyDescent="0.2">
      <c r="A20" s="29" t="s">
        <v>85</v>
      </c>
      <c r="B20" s="3">
        <v>862.7</v>
      </c>
      <c r="C20" s="81">
        <v>868.4</v>
      </c>
      <c r="D20" s="166">
        <v>868.1</v>
      </c>
      <c r="E20" s="3">
        <v>845.5</v>
      </c>
      <c r="F20" s="3">
        <v>870</v>
      </c>
      <c r="G20" s="3">
        <v>867.34</v>
      </c>
      <c r="H20" s="114">
        <f t="shared" ref="H20:H25" si="33">D4</f>
        <v>870</v>
      </c>
      <c r="I20" s="6">
        <v>870</v>
      </c>
      <c r="L20" s="35" t="s">
        <v>1</v>
      </c>
      <c r="M20" s="22"/>
      <c r="N20" s="22"/>
      <c r="O20" s="37">
        <v>0.21</v>
      </c>
      <c r="Q20" s="29" t="s">
        <v>5</v>
      </c>
      <c r="R20" s="34">
        <f t="array" ref="R20">INDEX($B$35:$B$60,MATCH(MIN(ABS($B$35:$B$60-S4)),ABS($B$35:$B$60-S4),0))</f>
        <v>1022727.2727272727</v>
      </c>
      <c r="S20" s="13">
        <f t="shared" si="25"/>
        <v>870</v>
      </c>
      <c r="T20" s="32">
        <f t="shared" ref="T20:T30" si="34">IF(S20&gt;848,S20-1,848)</f>
        <v>869</v>
      </c>
      <c r="U20" s="13">
        <f t="shared" si="26"/>
        <v>968181.81818181823</v>
      </c>
      <c r="V20" s="13">
        <f t="shared" si="27"/>
        <v>1022727.2727272727</v>
      </c>
      <c r="W20" s="33">
        <f t="shared" si="28"/>
        <v>870</v>
      </c>
      <c r="X20" s="32">
        <f t="shared" si="29"/>
        <v>11570.360131315874</v>
      </c>
      <c r="Y20" s="33">
        <f t="shared" si="30"/>
        <v>870</v>
      </c>
      <c r="Z20" s="32">
        <f t="shared" si="31"/>
        <v>11570.360131315874</v>
      </c>
      <c r="AA20" s="32">
        <f t="shared" si="32"/>
        <v>11570.360131315874</v>
      </c>
    </row>
    <row r="21" spans="1:27" ht="14.25" x14ac:dyDescent="0.2">
      <c r="A21" s="29" t="s">
        <v>86</v>
      </c>
      <c r="B21" s="3">
        <v>859.1</v>
      </c>
      <c r="C21" s="94">
        <v>868.4</v>
      </c>
      <c r="D21" s="166">
        <v>865.7</v>
      </c>
      <c r="E21" s="3">
        <v>845.5</v>
      </c>
      <c r="F21" s="3">
        <v>870</v>
      </c>
      <c r="G21" s="3">
        <v>865.15</v>
      </c>
      <c r="H21" s="114">
        <f t="shared" si="33"/>
        <v>868.15214781673058</v>
      </c>
      <c r="L21" s="35" t="s">
        <v>21</v>
      </c>
      <c r="M21" s="22"/>
      <c r="N21" s="22"/>
      <c r="O21" s="37">
        <v>1022727.28</v>
      </c>
      <c r="Q21" s="29" t="s">
        <v>6</v>
      </c>
      <c r="R21" s="34">
        <f t="array" ref="R21">INDEX($B$35:$B$60,MATCH(MIN(ABS($B$35:$B$60-S5)),ABS($B$35:$B$60-S5),0))</f>
        <v>1022727.2727272727</v>
      </c>
      <c r="S21" s="13">
        <f t="shared" si="25"/>
        <v>870</v>
      </c>
      <c r="T21" s="32">
        <f t="shared" si="34"/>
        <v>869</v>
      </c>
      <c r="U21" s="13">
        <f t="shared" si="26"/>
        <v>968181.81818181823</v>
      </c>
      <c r="V21" s="13">
        <f t="shared" si="27"/>
        <v>1022727.2727272727</v>
      </c>
      <c r="W21" s="33">
        <f t="shared" si="28"/>
        <v>870</v>
      </c>
      <c r="X21" s="32">
        <f t="shared" si="29"/>
        <v>11570.360131315874</v>
      </c>
      <c r="Y21" s="33">
        <f t="shared" si="30"/>
        <v>870</v>
      </c>
      <c r="Z21" s="32">
        <f t="shared" si="31"/>
        <v>11570.360131315874</v>
      </c>
      <c r="AA21" s="32">
        <f t="shared" si="32"/>
        <v>11570.360131315874</v>
      </c>
    </row>
    <row r="22" spans="1:27" x14ac:dyDescent="0.2">
      <c r="A22" s="29" t="s">
        <v>48</v>
      </c>
      <c r="B22" s="3">
        <v>855.5</v>
      </c>
      <c r="C22" s="81">
        <v>866</v>
      </c>
      <c r="D22" s="166">
        <v>862.4</v>
      </c>
      <c r="E22" s="3">
        <v>845.5</v>
      </c>
      <c r="F22" s="3">
        <v>870</v>
      </c>
      <c r="G22" s="3">
        <v>862.59</v>
      </c>
      <c r="H22" s="114">
        <f t="shared" si="33"/>
        <v>866.16269957237023</v>
      </c>
      <c r="L22" s="35" t="s">
        <v>45</v>
      </c>
      <c r="M22" s="22"/>
      <c r="N22" s="22"/>
      <c r="O22" s="38">
        <v>848</v>
      </c>
      <c r="Q22" s="29" t="s">
        <v>7</v>
      </c>
      <c r="R22" s="34">
        <f t="array" ref="R22">INDEX($B$35:$B$60,MATCH(MIN(ABS($B$35:$B$60-S6)),ABS($B$35:$B$60-S6),0))</f>
        <v>895454.54545454541</v>
      </c>
      <c r="S22" s="13">
        <f t="shared" si="25"/>
        <v>869</v>
      </c>
      <c r="T22" s="32">
        <f t="shared" si="34"/>
        <v>868</v>
      </c>
      <c r="U22" s="13">
        <f t="shared" si="26"/>
        <v>895454.54545454541</v>
      </c>
      <c r="V22" s="13">
        <f t="shared" si="27"/>
        <v>968181.81818181823</v>
      </c>
      <c r="W22" s="33">
        <f t="shared" si="28"/>
        <v>869</v>
      </c>
      <c r="X22" s="32">
        <f t="shared" si="29"/>
        <v>10965.878715939878</v>
      </c>
      <c r="Y22" s="33">
        <f t="shared" si="30"/>
        <v>868</v>
      </c>
      <c r="Z22" s="32">
        <f t="shared" si="31"/>
        <v>10153.83524273542</v>
      </c>
      <c r="AA22" s="32">
        <f t="shared" si="32"/>
        <v>10277.385884273792</v>
      </c>
    </row>
    <row r="23" spans="1:27" x14ac:dyDescent="0.2">
      <c r="A23" s="29" t="s">
        <v>2</v>
      </c>
      <c r="B23" s="3">
        <v>850.9</v>
      </c>
      <c r="C23" s="81">
        <v>862.4</v>
      </c>
      <c r="D23" s="166">
        <v>858.1</v>
      </c>
      <c r="E23" s="3">
        <v>845.5</v>
      </c>
      <c r="F23" s="3">
        <v>870</v>
      </c>
      <c r="G23" s="3">
        <v>860.72</v>
      </c>
      <c r="H23" s="114">
        <f t="shared" si="33"/>
        <v>862.904018240553</v>
      </c>
      <c r="L23" s="35" t="s">
        <v>84</v>
      </c>
      <c r="M23" s="22"/>
      <c r="N23" s="22"/>
      <c r="O23" s="49">
        <v>220</v>
      </c>
      <c r="Q23" s="29" t="s">
        <v>2</v>
      </c>
      <c r="R23" s="34">
        <f t="array" ref="R23">INDEX($B$35:$B$60,MATCH(MIN(ABS($B$35:$B$60-S7)),ABS($B$35:$B$60-S7),0))</f>
        <v>790909.09090909094</v>
      </c>
      <c r="S23" s="13">
        <f t="shared" si="25"/>
        <v>867</v>
      </c>
      <c r="T23" s="32">
        <f t="shared" si="34"/>
        <v>866</v>
      </c>
      <c r="U23" s="13">
        <f t="shared" si="26"/>
        <v>790909.09090909094</v>
      </c>
      <c r="V23" s="13">
        <f t="shared" si="27"/>
        <v>840909.09090909094</v>
      </c>
      <c r="W23" s="33">
        <f t="shared" si="28"/>
        <v>867</v>
      </c>
      <c r="X23" s="32">
        <f t="shared" si="29"/>
        <v>9546.3255831618098</v>
      </c>
      <c r="Y23" s="33">
        <f t="shared" si="30"/>
        <v>866</v>
      </c>
      <c r="Z23" s="32">
        <f t="shared" si="31"/>
        <v>8989.0742452070681</v>
      </c>
      <c r="AA23" s="32">
        <f t="shared" si="32"/>
        <v>9079.738799595043</v>
      </c>
    </row>
    <row r="24" spans="1:27" ht="13.5" thickBot="1" x14ac:dyDescent="0.25">
      <c r="A24" s="29" t="s">
        <v>49</v>
      </c>
      <c r="B24" s="3">
        <v>848.5</v>
      </c>
      <c r="C24" s="81">
        <v>860.82</v>
      </c>
      <c r="D24" s="166">
        <v>853.4</v>
      </c>
      <c r="E24" s="3">
        <v>845.5</v>
      </c>
      <c r="F24" s="3">
        <v>870</v>
      </c>
      <c r="G24" s="3">
        <v>860.83</v>
      </c>
      <c r="H24" s="114">
        <f t="shared" si="33"/>
        <v>863.53506226359866</v>
      </c>
      <c r="L24" s="50" t="s">
        <v>74</v>
      </c>
      <c r="M24" s="51"/>
      <c r="N24" s="51"/>
      <c r="O24" s="52">
        <v>35000000</v>
      </c>
      <c r="Q24" s="29" t="s">
        <v>8</v>
      </c>
      <c r="R24" s="34">
        <f t="array" ref="R24">INDEX($B$35:$B$60,MATCH(MIN(ABS($B$35:$B$60-S8)),ABS($B$35:$B$60-S8),0))</f>
        <v>654545.45454545459</v>
      </c>
      <c r="S24" s="13">
        <f t="shared" si="25"/>
        <v>863</v>
      </c>
      <c r="T24" s="32">
        <f t="shared" si="34"/>
        <v>862</v>
      </c>
      <c r="U24" s="13">
        <f t="shared" si="26"/>
        <v>613636.36363636365</v>
      </c>
      <c r="V24" s="13">
        <f t="shared" si="27"/>
        <v>654545.45454545459</v>
      </c>
      <c r="W24" s="33">
        <f t="shared" si="28"/>
        <v>863</v>
      </c>
      <c r="X24" s="32">
        <f t="shared" si="29"/>
        <v>7465.094462475874</v>
      </c>
      <c r="Y24" s="33">
        <f t="shared" si="30"/>
        <v>862</v>
      </c>
      <c r="Z24" s="32">
        <f t="shared" si="31"/>
        <v>7006.6449983142529</v>
      </c>
      <c r="AA24" s="32">
        <f t="shared" si="32"/>
        <v>7421.0916762881079</v>
      </c>
    </row>
    <row r="25" spans="1:27" x14ac:dyDescent="0.2">
      <c r="A25" s="29" t="s">
        <v>50</v>
      </c>
      <c r="B25" s="3">
        <v>846</v>
      </c>
      <c r="C25" s="81">
        <v>860.6</v>
      </c>
      <c r="D25" s="166">
        <v>848.9</v>
      </c>
      <c r="E25" s="3">
        <v>845.5</v>
      </c>
      <c r="F25" s="3">
        <v>870</v>
      </c>
      <c r="G25" s="3">
        <v>861.16</v>
      </c>
      <c r="H25" s="114">
        <f t="shared" si="33"/>
        <v>863.3854752203697</v>
      </c>
      <c r="Q25" s="29" t="s">
        <v>9</v>
      </c>
      <c r="R25" s="34">
        <f t="array" ref="R25">INDEX($B$35:$B$60,MATCH(MIN(ABS($B$35:$B$60-S9)),ABS($B$35:$B$60-S9),0))</f>
        <v>709090.90909090906</v>
      </c>
      <c r="S25" s="13">
        <f t="shared" si="25"/>
        <v>864</v>
      </c>
      <c r="T25" s="32">
        <f t="shared" si="34"/>
        <v>863</v>
      </c>
      <c r="U25" s="13">
        <f t="shared" si="26"/>
        <v>654545.45454545459</v>
      </c>
      <c r="V25" s="13">
        <f t="shared" si="27"/>
        <v>709090.90909090906</v>
      </c>
      <c r="W25" s="33">
        <f t="shared" si="28"/>
        <v>864</v>
      </c>
      <c r="X25" s="32">
        <f t="shared" si="29"/>
        <v>8077.8254990853411</v>
      </c>
      <c r="Y25" s="33">
        <f t="shared" si="30"/>
        <v>863</v>
      </c>
      <c r="Z25" s="32">
        <f t="shared" si="31"/>
        <v>7465.094462475874</v>
      </c>
      <c r="AA25" s="32">
        <f t="shared" si="32"/>
        <v>7792.9437179012893</v>
      </c>
    </row>
    <row r="26" spans="1:27" x14ac:dyDescent="0.2">
      <c r="A26" s="29" t="s">
        <v>51</v>
      </c>
      <c r="B26" s="3">
        <v>859.5</v>
      </c>
      <c r="C26" s="81">
        <v>865.3</v>
      </c>
      <c r="D26" s="166">
        <v>845.3</v>
      </c>
      <c r="E26" s="3">
        <v>845.5</v>
      </c>
      <c r="F26" s="3">
        <v>870</v>
      </c>
      <c r="G26" s="3">
        <v>863.54</v>
      </c>
      <c r="H26" s="114"/>
      <c r="Q26" s="29" t="s">
        <v>11</v>
      </c>
      <c r="R26" s="34">
        <f t="array" ref="R26">INDEX($B$35:$B$60,MATCH(MIN(ABS($B$35:$B$60-S10)),ABS($B$35:$B$60-S10),0))</f>
        <v>654545.45454545459</v>
      </c>
      <c r="S26" s="13">
        <f t="shared" si="25"/>
        <v>864</v>
      </c>
      <c r="T26" s="32">
        <f t="shared" si="34"/>
        <v>863</v>
      </c>
      <c r="U26" s="13">
        <f t="shared" si="26"/>
        <v>654545.45454545459</v>
      </c>
      <c r="V26" s="13">
        <f t="shared" si="27"/>
        <v>709090.90909090906</v>
      </c>
      <c r="W26" s="33">
        <f t="shared" si="28"/>
        <v>864</v>
      </c>
      <c r="X26" s="32">
        <f t="shared" si="29"/>
        <v>8077.8254990853411</v>
      </c>
      <c r="Y26" s="33">
        <f t="shared" si="30"/>
        <v>863</v>
      </c>
      <c r="Z26" s="32">
        <f t="shared" si="31"/>
        <v>7465.094462475874</v>
      </c>
      <c r="AA26" s="32">
        <f t="shared" si="32"/>
        <v>7701.2870938402621</v>
      </c>
    </row>
    <row r="27" spans="1:27" x14ac:dyDescent="0.2">
      <c r="A27" s="29" t="s">
        <v>52</v>
      </c>
      <c r="B27" s="3">
        <v>862.4</v>
      </c>
      <c r="C27" s="81">
        <v>870</v>
      </c>
      <c r="D27" s="159">
        <v>849.8</v>
      </c>
      <c r="E27" s="3">
        <v>845.5</v>
      </c>
      <c r="F27" s="3">
        <v>870</v>
      </c>
      <c r="G27" s="3">
        <v>865.94</v>
      </c>
      <c r="H27" s="114"/>
      <c r="Q27" s="29" t="s">
        <v>12</v>
      </c>
      <c r="R27" s="34">
        <f t="array" ref="R27">INDEX($B$35:$B$60,MATCH(MIN(ABS($B$35:$B$60-S11)),ABS($B$35:$B$60-S11),0))</f>
        <v>763636.36363636365</v>
      </c>
      <c r="S27" s="13">
        <f t="shared" si="25"/>
        <v>865</v>
      </c>
      <c r="T27" s="32">
        <f t="shared" si="34"/>
        <v>864</v>
      </c>
      <c r="U27" s="13">
        <f t="shared" si="26"/>
        <v>709090.90909090906</v>
      </c>
      <c r="V27" s="13">
        <f t="shared" si="27"/>
        <v>763636.36363636365</v>
      </c>
      <c r="W27" s="33">
        <f t="shared" si="28"/>
        <v>865</v>
      </c>
      <c r="X27" s="32">
        <f t="shared" si="29"/>
        <v>8689.1398165350201</v>
      </c>
      <c r="Y27" s="33">
        <f t="shared" si="30"/>
        <v>864</v>
      </c>
      <c r="Z27" s="32">
        <f t="shared" si="31"/>
        <v>8077.8254990853411</v>
      </c>
      <c r="AA27" s="32">
        <v>184719</v>
      </c>
    </row>
    <row r="28" spans="1:27" x14ac:dyDescent="0.2">
      <c r="A28" s="29" t="s">
        <v>53</v>
      </c>
      <c r="B28" s="3">
        <v>869.9</v>
      </c>
      <c r="C28" s="81">
        <v>870</v>
      </c>
      <c r="D28" s="159">
        <v>856.7</v>
      </c>
      <c r="E28" s="3">
        <v>845.5</v>
      </c>
      <c r="F28" s="3">
        <v>870</v>
      </c>
      <c r="G28" s="3">
        <v>868.96</v>
      </c>
      <c r="H28" s="114"/>
      <c r="Q28" s="29" t="s">
        <v>13</v>
      </c>
      <c r="R28" s="34">
        <f t="array" ref="R28">INDEX($B$35:$B$60,MATCH(MIN(ABS($B$35:$B$60-S12)),ABS($B$35:$B$60-S12),0))</f>
        <v>1022727.2727272727</v>
      </c>
      <c r="S28" s="13">
        <f t="shared" si="25"/>
        <v>870</v>
      </c>
      <c r="T28" s="32">
        <f t="shared" si="34"/>
        <v>869</v>
      </c>
      <c r="U28" s="13">
        <f t="shared" si="26"/>
        <v>968181.81818181823</v>
      </c>
      <c r="V28" s="13">
        <f t="shared" si="27"/>
        <v>1022727.2727272727</v>
      </c>
      <c r="W28" s="33">
        <f t="shared" si="28"/>
        <v>870</v>
      </c>
      <c r="X28" s="32">
        <f t="shared" si="29"/>
        <v>11570.360131315874</v>
      </c>
      <c r="Y28" s="33">
        <f t="shared" si="30"/>
        <v>870</v>
      </c>
      <c r="Z28" s="32">
        <f t="shared" si="31"/>
        <v>11570.360131315874</v>
      </c>
      <c r="AA28" s="32">
        <f>((X28-Z28)*(U12-Y28)+Z28)</f>
        <v>11570.360131315874</v>
      </c>
    </row>
    <row r="29" spans="1:27" x14ac:dyDescent="0.2">
      <c r="A29" s="29" t="s">
        <v>54</v>
      </c>
      <c r="B29" s="3">
        <v>869.9</v>
      </c>
      <c r="C29" s="81">
        <v>870</v>
      </c>
      <c r="D29" s="159">
        <v>865.3</v>
      </c>
      <c r="E29" s="3">
        <v>845.5</v>
      </c>
      <c r="F29" s="3">
        <v>870</v>
      </c>
      <c r="G29" s="3">
        <v>869.88</v>
      </c>
      <c r="H29" s="114"/>
      <c r="Q29" s="29" t="s">
        <v>14</v>
      </c>
      <c r="R29" s="34">
        <f t="array" ref="R29">INDEX($B$35:$B$60,MATCH(MIN(ABS($B$35:$B$60-S13)),ABS($B$35:$B$60-S13),0))</f>
        <v>1022727.2727272727</v>
      </c>
      <c r="S29" s="13">
        <f t="shared" si="25"/>
        <v>870</v>
      </c>
      <c r="T29" s="32">
        <f t="shared" si="34"/>
        <v>869</v>
      </c>
      <c r="U29" s="13">
        <f t="shared" si="26"/>
        <v>968181.81818181823</v>
      </c>
      <c r="V29" s="13">
        <f t="shared" si="27"/>
        <v>1022727.2727272727</v>
      </c>
      <c r="W29" s="33">
        <f t="shared" si="28"/>
        <v>870</v>
      </c>
      <c r="X29" s="32">
        <f t="shared" si="29"/>
        <v>11570.360131315874</v>
      </c>
      <c r="Y29" s="33">
        <f t="shared" si="30"/>
        <v>870</v>
      </c>
      <c r="Z29" s="32">
        <f t="shared" si="31"/>
        <v>11570.360131315874</v>
      </c>
      <c r="AA29" s="32">
        <f>((X29-Z29)*(U13-Y29)+Z29)</f>
        <v>11570.360131315874</v>
      </c>
    </row>
    <row r="30" spans="1:27" x14ac:dyDescent="0.2">
      <c r="A30" s="29" t="s">
        <v>55</v>
      </c>
      <c r="B30" s="3">
        <v>869.9</v>
      </c>
      <c r="C30" s="81">
        <v>870</v>
      </c>
      <c r="D30" s="159">
        <v>866.3</v>
      </c>
      <c r="E30" s="3">
        <v>845.5</v>
      </c>
      <c r="F30" s="3">
        <v>870</v>
      </c>
      <c r="G30" s="3">
        <v>869.59</v>
      </c>
      <c r="H30" s="114"/>
      <c r="Q30" s="29" t="s">
        <v>3</v>
      </c>
      <c r="R30" s="34">
        <f t="array" ref="R30">INDEX($B$35:$B$60,MATCH(MIN(ABS($B$35:$B$60-S14)),ABS($B$35:$B$60-S14),0))</f>
        <v>1022727.2727272727</v>
      </c>
      <c r="S30" s="13">
        <f t="shared" si="25"/>
        <v>870</v>
      </c>
      <c r="T30" s="32">
        <f t="shared" si="34"/>
        <v>869</v>
      </c>
      <c r="U30" s="13">
        <f t="shared" si="26"/>
        <v>968181.81818181823</v>
      </c>
      <c r="V30" s="13">
        <f t="shared" si="27"/>
        <v>1022727.2727272727</v>
      </c>
      <c r="W30" s="33">
        <f t="shared" si="28"/>
        <v>870</v>
      </c>
      <c r="X30" s="32">
        <f t="shared" si="29"/>
        <v>11570.360131315874</v>
      </c>
      <c r="Y30" s="33">
        <f t="shared" si="30"/>
        <v>870</v>
      </c>
      <c r="Z30" s="32">
        <f t="shared" si="31"/>
        <v>11570.360131315874</v>
      </c>
      <c r="AA30" s="32">
        <f>((X30-Z30)*(U14-Y30)+Z30)</f>
        <v>11570.360131315874</v>
      </c>
    </row>
    <row r="31" spans="1:27" x14ac:dyDescent="0.25">
      <c r="A31" s="14"/>
      <c r="B31" s="53"/>
      <c r="C31" s="14"/>
      <c r="D31" s="14"/>
      <c r="E31" s="53"/>
      <c r="F31" s="14"/>
      <c r="G31" s="14"/>
      <c r="H31" s="53"/>
      <c r="W31" s="20"/>
      <c r="X31" s="14"/>
      <c r="Y31" s="15"/>
      <c r="Z31" s="15"/>
      <c r="AA31" s="14"/>
    </row>
    <row r="32" spans="1:27" s="45" customFormat="1" ht="15" x14ac:dyDescent="0.25">
      <c r="A32" s="47"/>
      <c r="B32" s="46"/>
      <c r="C32" s="46"/>
      <c r="D32" s="47"/>
      <c r="E32" s="46"/>
      <c r="F32" s="46"/>
      <c r="G32" s="47"/>
      <c r="H32" s="46"/>
    </row>
    <row r="33" spans="1:16" ht="15.75" x14ac:dyDescent="0.2">
      <c r="A33" s="239" t="s">
        <v>29</v>
      </c>
      <c r="B33" s="239"/>
      <c r="C33" s="239"/>
      <c r="D33" s="239"/>
      <c r="E33" s="239"/>
      <c r="F33" s="14"/>
      <c r="G33" s="19"/>
      <c r="H33" s="14"/>
      <c r="L33" s="126"/>
    </row>
    <row r="34" spans="1:16" ht="14.25" x14ac:dyDescent="0.2">
      <c r="A34" s="25" t="s">
        <v>23</v>
      </c>
      <c r="B34" s="25" t="s">
        <v>24</v>
      </c>
      <c r="C34" s="25" t="s">
        <v>23</v>
      </c>
      <c r="D34" s="25" t="s">
        <v>70</v>
      </c>
      <c r="E34" s="25" t="s">
        <v>30</v>
      </c>
      <c r="F34" s="14"/>
      <c r="G34" s="14"/>
      <c r="H34" s="14"/>
      <c r="L34" s="126"/>
    </row>
    <row r="35" spans="1:16" ht="14.25" x14ac:dyDescent="0.2">
      <c r="A35" s="97">
        <v>845</v>
      </c>
      <c r="B35" s="98">
        <v>118181.81818181818</v>
      </c>
      <c r="C35" s="97">
        <v>845</v>
      </c>
      <c r="D35" s="99">
        <v>11.555555555555555</v>
      </c>
      <c r="E35" s="98">
        <v>1376.5761797257858</v>
      </c>
      <c r="F35" s="14"/>
      <c r="G35" s="14"/>
      <c r="H35" s="14"/>
      <c r="L35" s="126"/>
    </row>
    <row r="36" spans="1:16" ht="14.25" x14ac:dyDescent="0.2">
      <c r="A36" s="97">
        <v>846</v>
      </c>
      <c r="B36" s="98">
        <v>131818.18181818182</v>
      </c>
      <c r="C36" s="97">
        <v>846</v>
      </c>
      <c r="D36" s="99">
        <v>12.888888888888889</v>
      </c>
      <c r="E36" s="98">
        <v>1533.5969850963986</v>
      </c>
      <c r="F36" s="11"/>
      <c r="G36" s="11"/>
      <c r="H36" s="11"/>
      <c r="L36" s="126"/>
    </row>
    <row r="37" spans="1:16" ht="14.25" x14ac:dyDescent="0.2">
      <c r="A37" s="97">
        <v>847</v>
      </c>
      <c r="B37" s="98">
        <v>145454.54545454544</v>
      </c>
      <c r="C37" s="97">
        <v>847</v>
      </c>
      <c r="D37" s="99">
        <v>14.222222222222221</v>
      </c>
      <c r="E37" s="98">
        <v>1690.2470211509058</v>
      </c>
      <c r="F37" s="19"/>
      <c r="G37" s="14"/>
      <c r="H37" s="14"/>
      <c r="L37" s="126"/>
    </row>
    <row r="38" spans="1:16" ht="14.25" x14ac:dyDescent="0.2">
      <c r="A38" s="97">
        <v>848</v>
      </c>
      <c r="B38" s="98">
        <v>159090.90909090909</v>
      </c>
      <c r="C38" s="97">
        <v>848</v>
      </c>
      <c r="D38" s="99">
        <v>15.555555555555555</v>
      </c>
      <c r="E38" s="98">
        <v>1846.5275995732093</v>
      </c>
      <c r="F38" s="19"/>
      <c r="G38" s="14"/>
      <c r="H38" s="14"/>
      <c r="L38" s="126"/>
    </row>
    <row r="39" spans="1:16" ht="15.75" x14ac:dyDescent="0.2">
      <c r="A39" s="97">
        <v>849</v>
      </c>
      <c r="B39" s="98">
        <v>177272.72727272726</v>
      </c>
      <c r="C39" s="97">
        <v>849</v>
      </c>
      <c r="D39" s="99">
        <v>17.333333333333336</v>
      </c>
      <c r="E39" s="98">
        <v>2055.1358160217119</v>
      </c>
      <c r="K39" s="68"/>
      <c r="L39" s="126"/>
      <c r="M39" s="68"/>
      <c r="N39" s="68"/>
      <c r="O39" s="68"/>
    </row>
    <row r="40" spans="1:16" ht="14.25" x14ac:dyDescent="0.2">
      <c r="A40" s="97">
        <v>850</v>
      </c>
      <c r="B40" s="98">
        <v>195454.54545454544</v>
      </c>
      <c r="C40" s="97">
        <v>850</v>
      </c>
      <c r="D40" s="99">
        <v>19.111111111111111</v>
      </c>
      <c r="E40" s="98">
        <v>2263.2531896079831</v>
      </c>
      <c r="K40" s="11"/>
      <c r="L40" s="126"/>
      <c r="M40" s="11"/>
      <c r="N40" s="11"/>
      <c r="O40" s="11"/>
    </row>
    <row r="41" spans="1:16" ht="14.25" x14ac:dyDescent="0.2">
      <c r="A41" s="97">
        <v>851</v>
      </c>
      <c r="B41" s="98">
        <v>218181.81818181818</v>
      </c>
      <c r="C41" s="97">
        <v>851</v>
      </c>
      <c r="D41" s="99">
        <v>21.333333333333336</v>
      </c>
      <c r="E41" s="98">
        <v>2523.4533964420989</v>
      </c>
      <c r="K41" s="109"/>
      <c r="L41" s="126"/>
      <c r="M41" s="109"/>
      <c r="N41" s="109"/>
      <c r="O41" s="109"/>
    </row>
    <row r="42" spans="1:16" ht="14.25" x14ac:dyDescent="0.2">
      <c r="A42" s="97">
        <v>852</v>
      </c>
      <c r="B42" s="98">
        <v>240909.09090909091</v>
      </c>
      <c r="C42" s="97">
        <v>852</v>
      </c>
      <c r="D42" s="99">
        <v>23.555555555555554</v>
      </c>
      <c r="E42" s="98">
        <v>2783.042804668622</v>
      </c>
      <c r="K42" s="109"/>
      <c r="L42" s="126"/>
      <c r="M42" s="109"/>
      <c r="N42" s="109"/>
      <c r="O42" s="109"/>
    </row>
    <row r="43" spans="1:16" ht="14.25" x14ac:dyDescent="0.2">
      <c r="A43" s="97">
        <v>853</v>
      </c>
      <c r="B43" s="98">
        <v>263636.36363636365</v>
      </c>
      <c r="C43" s="97">
        <v>853</v>
      </c>
      <c r="D43" s="99">
        <v>25.777777777777779</v>
      </c>
      <c r="E43" s="98">
        <v>3042.0235624655406</v>
      </c>
      <c r="K43" s="109"/>
      <c r="L43" s="126"/>
      <c r="M43" s="109"/>
      <c r="N43" s="109"/>
      <c r="O43" s="109"/>
    </row>
    <row r="44" spans="1:16" ht="14.25" x14ac:dyDescent="0.2">
      <c r="A44" s="97">
        <v>854</v>
      </c>
      <c r="B44" s="98">
        <v>290909.09090909088</v>
      </c>
      <c r="C44" s="97">
        <v>854</v>
      </c>
      <c r="D44" s="99">
        <v>28.444444444444443</v>
      </c>
      <c r="E44" s="98">
        <v>3352.7850747419616</v>
      </c>
      <c r="K44" s="109"/>
      <c r="L44" s="126"/>
      <c r="M44" s="109"/>
      <c r="N44" s="109"/>
      <c r="O44" s="109"/>
    </row>
    <row r="45" spans="1:16" ht="14.25" x14ac:dyDescent="0.2">
      <c r="A45" s="97">
        <v>855</v>
      </c>
      <c r="B45" s="98">
        <v>318181.81818181818</v>
      </c>
      <c r="C45" s="97">
        <v>855</v>
      </c>
      <c r="D45" s="99">
        <v>31.111111111111111</v>
      </c>
      <c r="E45" s="98">
        <v>3662.819659504285</v>
      </c>
      <c r="K45" s="109"/>
      <c r="L45" s="126"/>
      <c r="M45" s="109"/>
      <c r="N45" s="109"/>
      <c r="O45" s="109"/>
    </row>
    <row r="46" spans="1:16" ht="14.25" x14ac:dyDescent="0.2">
      <c r="A46" s="97">
        <v>856</v>
      </c>
      <c r="B46" s="98">
        <v>354545.45454545453</v>
      </c>
      <c r="C46" s="97">
        <v>856</v>
      </c>
      <c r="D46" s="99">
        <v>34.666666666666671</v>
      </c>
      <c r="E46" s="98">
        <v>4076.6595976692374</v>
      </c>
      <c r="K46" s="109"/>
      <c r="L46" s="126"/>
      <c r="M46" s="109"/>
      <c r="N46" s="109"/>
      <c r="O46" s="109"/>
    </row>
    <row r="47" spans="1:16" ht="14.25" x14ac:dyDescent="0.2">
      <c r="A47" s="97">
        <v>857</v>
      </c>
      <c r="B47" s="98">
        <v>377272.72727272729</v>
      </c>
      <c r="C47" s="97">
        <v>857</v>
      </c>
      <c r="D47" s="99">
        <v>36.888888888888886</v>
      </c>
      <c r="E47" s="98">
        <v>4332.9221059630199</v>
      </c>
      <c r="K47" s="109"/>
      <c r="L47" s="126"/>
      <c r="M47" s="109"/>
      <c r="N47" s="109"/>
      <c r="O47" s="109"/>
    </row>
    <row r="48" spans="1:16" ht="14.25" x14ac:dyDescent="0.2">
      <c r="A48" s="97">
        <v>858</v>
      </c>
      <c r="B48" s="98">
        <v>413636.36363636365</v>
      </c>
      <c r="C48" s="97">
        <v>858</v>
      </c>
      <c r="D48" s="99">
        <v>40.444444444444443</v>
      </c>
      <c r="E48" s="98">
        <v>4745.0163770850959</v>
      </c>
      <c r="K48" s="109"/>
      <c r="L48" s="126"/>
      <c r="M48" s="109"/>
      <c r="N48" s="109"/>
      <c r="O48" s="109"/>
      <c r="P48" s="67"/>
    </row>
    <row r="49" spans="1:26" ht="14.25" x14ac:dyDescent="0.2">
      <c r="A49" s="97">
        <v>859</v>
      </c>
      <c r="B49" s="98">
        <v>463636.36363636365</v>
      </c>
      <c r="C49" s="97">
        <v>859</v>
      </c>
      <c r="D49" s="99">
        <v>45.333333333333329</v>
      </c>
      <c r="E49" s="98">
        <v>5312.3981790349017</v>
      </c>
      <c r="K49" s="109"/>
      <c r="L49" s="126"/>
      <c r="M49" s="109"/>
      <c r="N49" s="109"/>
      <c r="O49" s="109"/>
      <c r="P49" s="58"/>
    </row>
    <row r="50" spans="1:26" ht="14.25" x14ac:dyDescent="0.2">
      <c r="A50" s="97">
        <v>860</v>
      </c>
      <c r="B50" s="98">
        <v>513636.36363636365</v>
      </c>
      <c r="C50" s="97">
        <v>860</v>
      </c>
      <c r="D50" s="99">
        <v>50.222222222222221</v>
      </c>
      <c r="E50" s="98">
        <v>5878.4604884220344</v>
      </c>
      <c r="K50" s="109"/>
      <c r="L50" s="126"/>
      <c r="M50" s="109"/>
      <c r="N50" s="109"/>
      <c r="O50" s="109"/>
      <c r="P50" s="58"/>
    </row>
    <row r="51" spans="1:26" ht="14.25" x14ac:dyDescent="0.2">
      <c r="A51" s="97">
        <v>861</v>
      </c>
      <c r="B51" s="98">
        <v>563636.36363636365</v>
      </c>
      <c r="C51" s="97">
        <v>861</v>
      </c>
      <c r="D51" s="99">
        <v>55.111111111111114</v>
      </c>
      <c r="E51" s="98">
        <v>6443.2079027815535</v>
      </c>
      <c r="K51" s="109"/>
      <c r="L51" s="126"/>
      <c r="M51" s="109"/>
      <c r="N51" s="109"/>
      <c r="O51" s="109"/>
      <c r="P51" s="58"/>
    </row>
    <row r="52" spans="1:26" ht="14.25" x14ac:dyDescent="0.2">
      <c r="A52" s="97">
        <v>862</v>
      </c>
      <c r="B52" s="98">
        <v>613636.36363636365</v>
      </c>
      <c r="C52" s="97">
        <v>862</v>
      </c>
      <c r="D52" s="99">
        <v>60</v>
      </c>
      <c r="E52" s="98">
        <v>7006.6449983142529</v>
      </c>
      <c r="K52" s="109"/>
      <c r="L52" s="126"/>
      <c r="M52" s="109"/>
      <c r="N52" s="109"/>
      <c r="O52" s="109"/>
      <c r="P52" s="58"/>
    </row>
    <row r="53" spans="1:26" ht="14.25" x14ac:dyDescent="0.2">
      <c r="A53" s="97">
        <v>863</v>
      </c>
      <c r="B53" s="98">
        <v>654545.45454545459</v>
      </c>
      <c r="C53" s="97">
        <v>863</v>
      </c>
      <c r="D53" s="99">
        <v>64</v>
      </c>
      <c r="E53" s="98">
        <v>7465.094462475874</v>
      </c>
      <c r="I53" s="58"/>
      <c r="J53" s="58"/>
      <c r="K53" s="58"/>
      <c r="L53" s="126"/>
      <c r="M53" s="58"/>
      <c r="N53" s="58"/>
      <c r="O53" s="58"/>
      <c r="P53" s="58"/>
    </row>
    <row r="54" spans="1:26" s="73" customFormat="1" ht="14.25" x14ac:dyDescent="0.2">
      <c r="A54" s="97">
        <v>864</v>
      </c>
      <c r="B54" s="98">
        <v>709090.90909090906</v>
      </c>
      <c r="C54" s="97">
        <v>864</v>
      </c>
      <c r="D54" s="99">
        <v>69.333333333333343</v>
      </c>
      <c r="E54" s="98">
        <v>8077.8254990853411</v>
      </c>
      <c r="I54" s="58"/>
      <c r="J54" s="58"/>
      <c r="K54" s="58"/>
      <c r="L54" s="126"/>
      <c r="M54" s="58"/>
      <c r="N54" s="58"/>
      <c r="O54" s="58"/>
      <c r="P54" s="58"/>
    </row>
    <row r="55" spans="1:26" s="73" customFormat="1" ht="14.25" x14ac:dyDescent="0.2">
      <c r="A55" s="97">
        <v>865</v>
      </c>
      <c r="B55" s="98">
        <v>763636.36363636365</v>
      </c>
      <c r="C55" s="97">
        <v>865</v>
      </c>
      <c r="D55" s="99">
        <v>74.666666666666671</v>
      </c>
      <c r="E55" s="98">
        <v>8689.1398165350201</v>
      </c>
      <c r="I55" s="58"/>
      <c r="J55" s="58"/>
      <c r="K55" s="58"/>
      <c r="L55" s="126"/>
      <c r="M55" s="58"/>
      <c r="N55" s="58"/>
      <c r="O55" s="58"/>
      <c r="P55" s="58"/>
    </row>
    <row r="56" spans="1:26" s="73" customFormat="1" ht="14.25" x14ac:dyDescent="0.2">
      <c r="A56" s="97">
        <v>866</v>
      </c>
      <c r="B56" s="98">
        <v>790909.09090909094</v>
      </c>
      <c r="C56" s="97">
        <v>866</v>
      </c>
      <c r="D56" s="99">
        <v>77.333333333333329</v>
      </c>
      <c r="E56" s="98">
        <v>8989.0742452070681</v>
      </c>
      <c r="I56" s="58"/>
      <c r="J56" s="58"/>
      <c r="K56" s="58"/>
      <c r="L56" s="126"/>
      <c r="M56" s="58"/>
      <c r="N56" s="58"/>
      <c r="O56" s="58"/>
      <c r="P56" s="58"/>
    </row>
    <row r="57" spans="1:26" ht="14.25" x14ac:dyDescent="0.2">
      <c r="A57" s="97">
        <v>867</v>
      </c>
      <c r="B57" s="98">
        <v>840909.09090909094</v>
      </c>
      <c r="C57" s="97">
        <v>867</v>
      </c>
      <c r="D57" s="99">
        <v>82.222222222222214</v>
      </c>
      <c r="E57" s="98">
        <v>9546.3255831618098</v>
      </c>
      <c r="I57" s="58"/>
      <c r="J57" s="58"/>
      <c r="K57" s="58"/>
      <c r="L57" s="126"/>
      <c r="M57" s="58"/>
      <c r="N57" s="58"/>
      <c r="O57" s="58"/>
      <c r="P57" s="58"/>
    </row>
    <row r="58" spans="1:26" ht="14.25" x14ac:dyDescent="0.2">
      <c r="A58" s="97">
        <v>868</v>
      </c>
      <c r="B58" s="98">
        <v>895454.54545454541</v>
      </c>
      <c r="C58" s="97">
        <v>868</v>
      </c>
      <c r="D58" s="99">
        <v>87.555555555555557</v>
      </c>
      <c r="E58" s="98">
        <v>10153.83524273542</v>
      </c>
      <c r="I58" s="58"/>
      <c r="J58" s="58"/>
      <c r="K58" s="58"/>
      <c r="L58" s="126"/>
      <c r="M58" s="58"/>
      <c r="N58" s="58"/>
      <c r="O58" s="58"/>
      <c r="P58" s="58"/>
    </row>
    <row r="59" spans="1:26" ht="14.25" x14ac:dyDescent="0.2">
      <c r="A59" s="97">
        <v>869</v>
      </c>
      <c r="B59" s="98">
        <v>968181.81818181823</v>
      </c>
      <c r="C59" s="97">
        <v>869</v>
      </c>
      <c r="D59" s="99">
        <v>94.666666666666671</v>
      </c>
      <c r="E59" s="98">
        <v>10965.878715939878</v>
      </c>
      <c r="I59" s="58"/>
      <c r="J59" s="58"/>
      <c r="K59" s="58"/>
      <c r="L59" s="126"/>
      <c r="M59" s="58"/>
      <c r="N59" s="58"/>
      <c r="O59" s="58"/>
      <c r="P59" s="58"/>
    </row>
    <row r="60" spans="1:26" ht="14.25" x14ac:dyDescent="0.2">
      <c r="A60" s="97">
        <v>870</v>
      </c>
      <c r="B60" s="98">
        <v>1022727.2727272727</v>
      </c>
      <c r="C60" s="97">
        <v>870</v>
      </c>
      <c r="D60" s="99">
        <v>0</v>
      </c>
      <c r="E60" s="98">
        <v>11570.360131315874</v>
      </c>
      <c r="I60" s="58"/>
      <c r="J60" s="58"/>
      <c r="K60" s="58"/>
      <c r="L60" s="125"/>
      <c r="M60" s="58"/>
      <c r="N60" s="58"/>
      <c r="O60" s="58"/>
      <c r="P60" s="58"/>
      <c r="V60" s="21"/>
      <c r="W60" s="21"/>
      <c r="X60" s="21"/>
      <c r="Y60" s="21"/>
      <c r="Z60" s="21"/>
    </row>
    <row r="61" spans="1:26" ht="14.25" x14ac:dyDescent="0.2">
      <c r="I61" s="58"/>
      <c r="J61" s="58"/>
      <c r="K61" s="58"/>
      <c r="L61" s="126"/>
      <c r="M61" s="58"/>
      <c r="N61" s="58"/>
      <c r="O61" s="58"/>
      <c r="P61" s="58"/>
      <c r="V61" s="10"/>
      <c r="W61" s="23"/>
      <c r="X61" s="10"/>
      <c r="Y61" s="10"/>
      <c r="Z61" s="10"/>
    </row>
    <row r="62" spans="1:26" ht="14.25" x14ac:dyDescent="0.2">
      <c r="I62" s="58"/>
      <c r="J62" s="58"/>
      <c r="K62" s="58"/>
      <c r="L62" s="126"/>
      <c r="M62" s="58"/>
      <c r="N62" s="58"/>
      <c r="O62" s="58"/>
      <c r="P62" s="58"/>
      <c r="V62" s="10"/>
    </row>
    <row r="63" spans="1:26" ht="14.25" x14ac:dyDescent="0.2">
      <c r="I63" s="58"/>
      <c r="J63" s="58"/>
      <c r="K63" s="58"/>
      <c r="L63" s="126"/>
      <c r="M63" s="58"/>
      <c r="N63" s="58"/>
      <c r="O63" s="58"/>
      <c r="P63" s="58"/>
      <c r="V63" s="10"/>
    </row>
    <row r="64" spans="1:26" x14ac:dyDescent="0.25">
      <c r="V64" s="10"/>
    </row>
    <row r="65" spans="1:27" x14ac:dyDescent="0.25">
      <c r="A65" s="63"/>
      <c r="B65" s="63"/>
      <c r="C65" s="63"/>
      <c r="D65" s="63"/>
      <c r="E65" s="63"/>
      <c r="F65" s="14"/>
      <c r="G65" s="14"/>
      <c r="H65" s="14"/>
      <c r="V65" s="10"/>
    </row>
    <row r="66" spans="1:27" x14ac:dyDescent="0.25">
      <c r="A66" s="14"/>
      <c r="B66" s="14"/>
      <c r="C66" s="14"/>
      <c r="D66" s="14"/>
      <c r="E66" s="14"/>
      <c r="F66" s="14"/>
      <c r="G66" s="14"/>
      <c r="H66" s="14"/>
      <c r="V66" s="10"/>
    </row>
    <row r="67" spans="1:27" x14ac:dyDescent="0.25">
      <c r="A67" s="14"/>
      <c r="B67" s="14"/>
      <c r="C67" s="14"/>
      <c r="D67" s="14"/>
      <c r="E67" s="14"/>
      <c r="F67" s="14"/>
      <c r="G67" s="14"/>
      <c r="H67" s="14"/>
      <c r="V67" s="10"/>
    </row>
    <row r="68" spans="1:27" x14ac:dyDescent="0.25">
      <c r="A68" s="14"/>
      <c r="B68" s="14"/>
      <c r="C68" s="14"/>
      <c r="D68" s="14"/>
      <c r="E68" s="14"/>
      <c r="F68" s="14"/>
      <c r="G68" s="14"/>
      <c r="H68" s="14"/>
      <c r="V68" s="10"/>
    </row>
    <row r="69" spans="1:27" x14ac:dyDescent="0.25">
      <c r="A69" s="14"/>
      <c r="B69" s="14"/>
      <c r="C69" s="14"/>
      <c r="D69" s="14"/>
      <c r="E69" s="14"/>
      <c r="F69" s="14"/>
      <c r="G69" s="14"/>
      <c r="H69" s="14"/>
      <c r="V69" s="10"/>
    </row>
    <row r="70" spans="1:27" x14ac:dyDescent="0.25">
      <c r="A70" s="14"/>
      <c r="B70" s="14"/>
      <c r="C70" s="14"/>
      <c r="D70" s="14"/>
      <c r="E70" s="14"/>
      <c r="V70" s="7"/>
      <c r="W70" s="10"/>
      <c r="X70" s="27"/>
      <c r="Y70" s="10"/>
      <c r="Z70" s="10"/>
      <c r="AA70" s="10"/>
    </row>
    <row r="71" spans="1:27" x14ac:dyDescent="0.25">
      <c r="V71" s="7"/>
      <c r="W71" s="7"/>
      <c r="X71" s="23"/>
      <c r="Y71" s="7"/>
      <c r="Z71" s="7"/>
      <c r="AA71" s="7"/>
    </row>
  </sheetData>
  <mergeCells count="5">
    <mergeCell ref="A33:E33"/>
    <mergeCell ref="A1:H1"/>
    <mergeCell ref="L18:O18"/>
    <mergeCell ref="Q1:AA1"/>
    <mergeCell ref="A17:H17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60"/>
  <sheetViews>
    <sheetView workbookViewId="0">
      <selection sqref="A1:N1"/>
    </sheetView>
  </sheetViews>
  <sheetFormatPr defaultColWidth="19.42578125" defaultRowHeight="12.75" x14ac:dyDescent="0.25"/>
  <cols>
    <col min="1" max="1" width="11.42578125" style="130" customWidth="1"/>
    <col min="2" max="2" width="28.85546875" style="132" customWidth="1"/>
    <col min="3" max="9" width="11.42578125" style="130" customWidth="1"/>
    <col min="10" max="14" width="11.42578125" style="132" customWidth="1"/>
    <col min="15" max="16384" width="19.42578125" style="132"/>
  </cols>
  <sheetData>
    <row r="1" spans="1:14" x14ac:dyDescent="0.25">
      <c r="A1" s="243" t="s">
        <v>128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</row>
    <row r="2" spans="1:14" s="134" customFormat="1" x14ac:dyDescent="0.25">
      <c r="A2" s="133" t="s">
        <v>129</v>
      </c>
      <c r="B2" s="133" t="s">
        <v>130</v>
      </c>
      <c r="C2" s="136">
        <v>43101</v>
      </c>
      <c r="D2" s="136">
        <v>43132</v>
      </c>
      <c r="E2" s="136">
        <v>43160</v>
      </c>
      <c r="F2" s="136">
        <v>43191</v>
      </c>
      <c r="G2" s="136">
        <v>43221</v>
      </c>
      <c r="H2" s="136">
        <v>43252</v>
      </c>
      <c r="I2" s="136">
        <v>43282</v>
      </c>
      <c r="J2" s="136">
        <v>43313</v>
      </c>
      <c r="K2" s="136">
        <v>43344</v>
      </c>
      <c r="L2" s="136">
        <v>43009</v>
      </c>
      <c r="M2" s="136">
        <v>43040</v>
      </c>
      <c r="N2" s="136">
        <v>43070</v>
      </c>
    </row>
    <row r="3" spans="1:14" s="134" customFormat="1" ht="15" customHeight="1" x14ac:dyDescent="0.25">
      <c r="A3" s="240" t="s">
        <v>131</v>
      </c>
      <c r="B3" s="205" t="s">
        <v>145</v>
      </c>
      <c r="C3" s="142" t="str">
        <f>INDEX('Caroni '!$B$3:$B$14,COLUMNS($A$2:A$2))</f>
        <v>-</v>
      </c>
      <c r="D3" s="142" t="str">
        <f>INDEX('Caroni '!$B$3:$B$14,COLUMNS($A$2:B$2))</f>
        <v>-</v>
      </c>
      <c r="E3" s="142">
        <f>INDEX('Caroni '!$B$3:$B$14,COLUMNS($A$2:C$2))</f>
        <v>62</v>
      </c>
      <c r="F3" s="142">
        <f>INDEX('Caroni '!$B$3:$B$14,COLUMNS($A$2:D$2))</f>
        <v>56</v>
      </c>
      <c r="G3" s="142">
        <f>INDEX('Caroni '!$B$3:$B$14,COLUMNS($A$2:E$2))</f>
        <v>70</v>
      </c>
      <c r="H3" s="142">
        <f>INDEX('Caroni '!$B$3:$B$14,COLUMNS($A$2:F$2))</f>
        <v>279</v>
      </c>
      <c r="I3" s="142">
        <f>INDEX('Caroni '!$B$3:$B$14,COLUMNS($A$2:G$2))</f>
        <v>265</v>
      </c>
      <c r="J3" s="142">
        <f>INDEX('Caroni '!$B$3:$B$14,COLUMNS($A$2:H$2))</f>
        <v>250</v>
      </c>
      <c r="K3" s="142" t="str">
        <f>INDEX('Caroni '!$B$3:$B$14,COLUMNS($A$2:I$2))</f>
        <v>-</v>
      </c>
      <c r="L3" s="142" t="str">
        <f>INDEX('Caroni '!$B$3:$B$14,COLUMNS($A$2:J$2))</f>
        <v>-</v>
      </c>
      <c r="M3" s="142" t="str">
        <f>INDEX('Caroni '!$B$3:$B$14,COLUMNS($A$2:K$2))</f>
        <v>-</v>
      </c>
      <c r="N3" s="142" t="str">
        <f>INDEX('Caroni '!$B$3:$B$14,COLUMNS($A$2:L$2))</f>
        <v>-</v>
      </c>
    </row>
    <row r="4" spans="1:14" s="134" customFormat="1" ht="15" customHeight="1" x14ac:dyDescent="0.25">
      <c r="A4" s="241"/>
      <c r="B4" s="206" t="s">
        <v>146</v>
      </c>
      <c r="C4" s="144">
        <v>95.7</v>
      </c>
      <c r="D4" s="144">
        <v>67</v>
      </c>
      <c r="E4" s="144">
        <v>48.6</v>
      </c>
      <c r="F4" s="144">
        <v>54.4</v>
      </c>
      <c r="G4" s="144">
        <v>129.4</v>
      </c>
      <c r="H4" s="144">
        <v>271.8</v>
      </c>
      <c r="I4" s="163">
        <v>257.39999999999998</v>
      </c>
      <c r="J4" s="144">
        <v>236.3</v>
      </c>
      <c r="K4" s="144">
        <v>233.7</v>
      </c>
      <c r="L4" s="144">
        <v>205.2</v>
      </c>
      <c r="M4" s="144">
        <v>301.8</v>
      </c>
      <c r="N4" s="144">
        <v>206.9</v>
      </c>
    </row>
    <row r="5" spans="1:14" x14ac:dyDescent="0.25">
      <c r="A5" s="241"/>
      <c r="B5" s="131" t="s">
        <v>132</v>
      </c>
      <c r="C5" s="142">
        <f>INDEX('Caroni '!$E$3:$E$14,COLUMNS($A$2:A$2))</f>
        <v>119</v>
      </c>
      <c r="D5" s="142">
        <f>INDEX('Caroni '!$E$3:$E$14,COLUMNS($A$2:B$2))</f>
        <v>118.9</v>
      </c>
      <c r="E5" s="142">
        <f>INDEX('Caroni '!$E$3:$E$14,COLUMNS($A$2:C$2))</f>
        <v>115.35906619052828</v>
      </c>
      <c r="F5" s="142">
        <f>INDEX('Caroni '!$E$3:$E$14,COLUMNS($A$2:D$2))</f>
        <v>111.88649711625891</v>
      </c>
      <c r="G5" s="142">
        <f>INDEX('Caroni '!$E$3:$E$14,COLUMNS($A$2:E$2))</f>
        <v>107.92022016166645</v>
      </c>
      <c r="H5" s="142">
        <f>INDEX('Caroni '!$E$3:$E$14,COLUMNS($A$2:F$2))</f>
        <v>110.58595450143341</v>
      </c>
      <c r="I5" s="142">
        <f>INDEX('Caroni '!$E$3:$E$14,COLUMNS($A$2:G$2))</f>
        <v>112.67909414334115</v>
      </c>
      <c r="J5" s="142">
        <f>INDEX('Caroni '!$E$3:$E$14,COLUMNS($A$2:H$2))</f>
        <v>114.69963433387652</v>
      </c>
      <c r="K5" s="142">
        <f>INDEX('Caroni '!$E$3:$E$14,COLUMNS($A$2:I$2))</f>
        <v>119.05</v>
      </c>
      <c r="L5" s="142">
        <f>INDEX('Caroni '!$E$3:$E$14,COLUMNS($A$2:J$2))</f>
        <v>119.4</v>
      </c>
      <c r="M5" s="142">
        <f>INDEX('Caroni '!$E$3:$E$14,COLUMNS($A$2:K$2))</f>
        <v>119</v>
      </c>
      <c r="N5" s="142">
        <f>INDEX('Caroni '!$E$3:$E$14,COLUMNS($A$2:L$2))</f>
        <v>119</v>
      </c>
    </row>
    <row r="6" spans="1:14" x14ac:dyDescent="0.25">
      <c r="A6" s="241"/>
      <c r="B6" s="131" t="s">
        <v>70</v>
      </c>
      <c r="C6" s="142">
        <f>INDEX('Caroni '!$F$3:$F$14,COLUMNS($A$2:A$2))</f>
        <v>100</v>
      </c>
      <c r="D6" s="142">
        <f>INDEX('Caroni '!$F$3:$F$14,COLUMNS($A$2:B$2))</f>
        <v>99.6</v>
      </c>
      <c r="E6" s="142">
        <f>INDEX('Caroni '!$F$3:$F$14,COLUMNS($A$2:C$2))</f>
        <v>84.973923960910355</v>
      </c>
      <c r="F6" s="142">
        <f>INDEX('Caroni '!$F$3:$F$14,COLUMNS($A$2:D$2))</f>
        <v>70.642686511544724</v>
      </c>
      <c r="G6" s="142">
        <f>INDEX('Caroni '!$F$3:$F$14,COLUMNS($A$2:E$2))</f>
        <v>56.32069193666598</v>
      </c>
      <c r="H6" s="142">
        <f>INDEX('Caroni '!$F$3:$F$14,COLUMNS($A$2:F$2))</f>
        <v>65.275367783693426</v>
      </c>
      <c r="I6" s="142">
        <f>INDEX('Caroni '!$F$3:$F$14,COLUMNS($A$2:G$2))</f>
        <v>73.913721861407879</v>
      </c>
      <c r="J6" s="142">
        <f>INDEX('Caroni '!$F$3:$F$14,COLUMNS($A$2:H$2))</f>
        <v>82.252459155680853</v>
      </c>
      <c r="K6" s="142">
        <f>INDEX('Caroni '!$F$3:$F$14,COLUMNS($A$2:I$2))</f>
        <v>100</v>
      </c>
      <c r="L6" s="142">
        <f>INDEX('Caroni '!$F$3:$F$14,COLUMNS($A$2:J$2))</f>
        <v>100</v>
      </c>
      <c r="M6" s="142">
        <f>INDEX('Caroni '!$F$3:$F$14,COLUMNS($A$2:K$2))</f>
        <v>100</v>
      </c>
      <c r="N6" s="142">
        <f>INDEX('Caroni '!$F$3:$F$14,COLUMNS($A$2:L$2))</f>
        <v>100</v>
      </c>
    </row>
    <row r="7" spans="1:14" ht="25.5" x14ac:dyDescent="0.25">
      <c r="A7" s="241"/>
      <c r="B7" s="131" t="s">
        <v>120</v>
      </c>
      <c r="C7" s="142" t="str">
        <f>INDEX('Caroni '!$C$3:$C$14,COLUMNS($A$2:A$2))</f>
        <v>-</v>
      </c>
      <c r="D7" s="142" t="str">
        <f>INDEX('Caroni '!$C$3:$C$14,COLUMNS($A$2:B$2))</f>
        <v>-</v>
      </c>
      <c r="E7" s="142">
        <f>INDEX('Caroni '!$C$3:$C$14,COLUMNS($A$2:C$2))</f>
        <v>-45</v>
      </c>
      <c r="F7" s="142">
        <f>INDEX('Caroni '!$C$3:$C$14,COLUMNS($A$2:D$2))</f>
        <v>-45</v>
      </c>
      <c r="G7" s="142">
        <f>INDEX('Caroni '!$C$3:$C$14,COLUMNS($A$2:E$2))</f>
        <v>-45</v>
      </c>
      <c r="H7" s="142">
        <f>INDEX('Caroni '!$C$3:$C$14,COLUMNS($A$2:F$2))</f>
        <v>10</v>
      </c>
      <c r="I7" s="142">
        <f>INDEX('Caroni '!$C$3:$C$14,COLUMNS($A$2:G$2))</f>
        <v>10</v>
      </c>
      <c r="J7" s="142">
        <f>INDEX('Caroni '!$C$3:$C$14,COLUMNS($A$2:H$2))</f>
        <v>10</v>
      </c>
      <c r="K7" s="142" t="str">
        <f>INDEX('Caroni '!$C$3:$C$14,COLUMNS($A$2:I$2))</f>
        <v>-</v>
      </c>
      <c r="L7" s="142" t="str">
        <f>INDEX('Caroni '!$C$3:$C$14,COLUMNS($A$2:J$2))</f>
        <v>-</v>
      </c>
      <c r="M7" s="142" t="str">
        <f>INDEX('Caroni '!$C$3:$C$14,COLUMNS($A$2:K$2))</f>
        <v>-</v>
      </c>
      <c r="N7" s="142" t="str">
        <f>INDEX('Caroni '!$C$3:$C$14,COLUMNS($A$2:L$2))</f>
        <v>-</v>
      </c>
    </row>
    <row r="8" spans="1:14" x14ac:dyDescent="0.25">
      <c r="A8" s="242"/>
      <c r="B8" s="131" t="s">
        <v>133</v>
      </c>
      <c r="C8" s="140" t="str">
        <f>INDEX('Caroni '!$D$3:$D$14,COLUMNS($A$2:A$2))</f>
        <v>-</v>
      </c>
      <c r="D8" s="140" t="str">
        <f>INDEX('Caroni '!$D$3:$D$14,COLUMNS($A$2:B$2))</f>
        <v>-</v>
      </c>
      <c r="E8" s="140" t="str">
        <f>INDEX('Caroni '!$D$3:$D$14,COLUMNS($A$2:C$2))</f>
        <v>65-75</v>
      </c>
      <c r="F8" s="140" t="str">
        <f>INDEX('Caroni '!$D$3:$D$14,COLUMNS($A$2:D$2))</f>
        <v>65-75</v>
      </c>
      <c r="G8" s="140" t="str">
        <f>INDEX('Caroni '!$D$3:$D$14,COLUMNS($A$2:E$2))</f>
        <v>65-75</v>
      </c>
      <c r="H8" s="140" t="str">
        <f>INDEX('Caroni '!$D$3:$D$14,COLUMNS($A$2:F$2))</f>
        <v>65-75</v>
      </c>
      <c r="I8" s="140" t="str">
        <f>INDEX('Caroni '!$D$3:$D$14,COLUMNS($A$2:G$2))</f>
        <v>65-75</v>
      </c>
      <c r="J8" s="140" t="str">
        <f>INDEX('Caroni '!$D$3:$D$14,COLUMNS($A$2:H$2))</f>
        <v>65-75</v>
      </c>
      <c r="K8" s="140" t="str">
        <f>INDEX('Caroni '!$D$3:$D$14,COLUMNS($A$2:I$2))</f>
        <v>-</v>
      </c>
      <c r="L8" s="140" t="str">
        <f>INDEX('Caroni '!$D$3:$D$14,COLUMNS($A$2:J$2))</f>
        <v>-</v>
      </c>
      <c r="M8" s="140" t="str">
        <f>INDEX('Caroni '!$D$3:$D$14,COLUMNS($A$2:K$2))</f>
        <v>-</v>
      </c>
      <c r="N8" s="140" t="str">
        <f>INDEX('Caroni '!$D$3:$D$14,COLUMNS($A$2:L$2))</f>
        <v>-</v>
      </c>
    </row>
    <row r="9" spans="1:14" s="135" customFormat="1" x14ac:dyDescent="0.25">
      <c r="A9" s="153"/>
      <c r="B9" s="154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</row>
    <row r="10" spans="1:14" s="135" customFormat="1" ht="15" customHeight="1" x14ac:dyDescent="0.25">
      <c r="A10" s="240" t="s">
        <v>71</v>
      </c>
      <c r="B10" s="131" t="s">
        <v>144</v>
      </c>
      <c r="C10" s="142" t="str">
        <f>INDEX('Navet '!$B$3:$B$14,COLUMNS($A$2:A$2))</f>
        <v>-</v>
      </c>
      <c r="D10" s="142" t="str">
        <f>INDEX('Navet '!$B$3:$B$14,COLUMNS($A$2:B$2))</f>
        <v>-</v>
      </c>
      <c r="E10" s="142">
        <f>INDEX('Navet '!$B$3:$B$14,COLUMNS($A$2:C$2))</f>
        <v>68</v>
      </c>
      <c r="F10" s="142">
        <f>INDEX('Navet '!$B$3:$B$14,COLUMNS($A$2:D$2))</f>
        <v>48</v>
      </c>
      <c r="G10" s="142">
        <f>INDEX('Navet '!$B$3:$B$14,COLUMNS($A$2:E$2))</f>
        <v>88</v>
      </c>
      <c r="H10" s="142">
        <f>INDEX('Navet '!$B$3:$B$14,COLUMNS($A$2:F$2))</f>
        <v>297</v>
      </c>
      <c r="I10" s="142">
        <f>INDEX('Navet '!$B$3:$B$14,COLUMNS($A$2:G$2))</f>
        <v>198</v>
      </c>
      <c r="J10" s="142">
        <f>INDEX('Navet '!$B$3:$B$14,COLUMNS($A$2:H$2))</f>
        <v>237</v>
      </c>
      <c r="K10" s="142" t="str">
        <f>INDEX('Navet '!$B$3:$B$14,COLUMNS($A$2:I$2))</f>
        <v>-</v>
      </c>
      <c r="L10" s="142" t="str">
        <f>INDEX('Navet '!$B$3:$B$14,COLUMNS($A$2:J$2))</f>
        <v>-</v>
      </c>
      <c r="M10" s="142" t="str">
        <f>INDEX('Navet '!$B$3:$B$14,COLUMNS($A$2:K$2))</f>
        <v>-</v>
      </c>
      <c r="N10" s="142" t="str">
        <f>INDEX('Navet '!$B$3:$B$14,COLUMNS($A$2:L$2))</f>
        <v>-</v>
      </c>
    </row>
    <row r="11" spans="1:14" s="135" customFormat="1" ht="15" customHeight="1" x14ac:dyDescent="0.25">
      <c r="A11" s="241"/>
      <c r="B11" s="206" t="s">
        <v>146</v>
      </c>
      <c r="C11" s="144">
        <v>122.3</v>
      </c>
      <c r="D11" s="144">
        <v>80.400000000000006</v>
      </c>
      <c r="E11" s="144">
        <v>52.1</v>
      </c>
      <c r="F11" s="144">
        <v>67.599999999999994</v>
      </c>
      <c r="G11" s="144">
        <v>147.19999999999999</v>
      </c>
      <c r="H11" s="144">
        <v>288</v>
      </c>
      <c r="I11" s="163">
        <v>296</v>
      </c>
      <c r="J11" s="144">
        <v>268.8</v>
      </c>
      <c r="K11" s="144">
        <v>222.8</v>
      </c>
      <c r="L11" s="144">
        <v>226</v>
      </c>
      <c r="M11" s="144">
        <v>299.2</v>
      </c>
      <c r="N11" s="144">
        <v>231.6</v>
      </c>
    </row>
    <row r="12" spans="1:14" x14ac:dyDescent="0.25">
      <c r="A12" s="241"/>
      <c r="B12" s="131" t="s">
        <v>132</v>
      </c>
      <c r="C12" s="142">
        <f>INDEX('Navet '!$E$3:$E$14,COLUMNS($A$2:A$2))</f>
        <v>311.8</v>
      </c>
      <c r="D12" s="142">
        <f>INDEX('Navet '!$E$3:$E$14,COLUMNS($A$2:B$2))</f>
        <v>311.39999999999998</v>
      </c>
      <c r="E12" s="142">
        <f>INDEX('Navet '!$E$3:$E$14,COLUMNS($A$2:C$2))</f>
        <v>307.9822938305295</v>
      </c>
      <c r="F12" s="142">
        <f>INDEX('Navet '!$E$3:$E$14,COLUMNS($A$2:D$2))</f>
        <v>304.49747333940672</v>
      </c>
      <c r="G12" s="142">
        <f>INDEX('Navet '!$E$3:$E$14,COLUMNS($A$2:E$2))</f>
        <v>300.91772226058657</v>
      </c>
      <c r="H12" s="142">
        <f>INDEX('Navet '!$E$3:$E$14,COLUMNS($A$2:F$2))</f>
        <v>303.09928482156863</v>
      </c>
      <c r="I12" s="142">
        <f>INDEX('Navet '!$E$3:$E$14,COLUMNS($A$2:G$2))</f>
        <v>303.42227301920565</v>
      </c>
      <c r="J12" s="142">
        <f>INDEX('Navet '!$E$3:$E$14,COLUMNS($A$2:H$2))</f>
        <v>304.26247710472097</v>
      </c>
      <c r="K12" s="142">
        <f>INDEX('Navet '!$E$3:$E$14,COLUMNS($A$2:I$2))</f>
        <v>310.2</v>
      </c>
      <c r="L12" s="142">
        <f>INDEX('Navet '!$E$3:$E$14,COLUMNS($A$2:J$2))</f>
        <v>311.8</v>
      </c>
      <c r="M12" s="142">
        <f>INDEX('Navet '!$E$3:$E$14,COLUMNS($A$2:K$2))</f>
        <v>311.7</v>
      </c>
      <c r="N12" s="142">
        <f>INDEX('Navet '!$E$3:$E$14,COLUMNS($A$2:L$2))</f>
        <v>312</v>
      </c>
    </row>
    <row r="13" spans="1:14" x14ac:dyDescent="0.25">
      <c r="A13" s="241"/>
      <c r="B13" s="131" t="s">
        <v>70</v>
      </c>
      <c r="C13" s="142">
        <f>INDEX('Navet '!$F$3:$F$14,COLUMNS($A$2:A$2))</f>
        <v>99.01</v>
      </c>
      <c r="D13" s="142">
        <f>INDEX('Navet '!$F$3:$F$14,COLUMNS($A$2:B$2))</f>
        <v>97.04</v>
      </c>
      <c r="E13" s="142">
        <f>INDEX('Navet '!$F$3:$F$14,COLUMNS($A$2:C$2))</f>
        <v>83.863179410022241</v>
      </c>
      <c r="F13" s="142">
        <f>INDEX('Navet '!$F$3:$F$14,COLUMNS($A$2:D$2))</f>
        <v>70.053930059897269</v>
      </c>
      <c r="G13" s="142">
        <f>INDEX('Navet '!$F$3:$F$14,COLUMNS($A$2:E$2))</f>
        <v>57.821536445892775</v>
      </c>
      <c r="H13" s="142">
        <f>INDEX('Navet '!$F$3:$F$14,COLUMNS($A$2:F$2))</f>
        <v>64.626539352457129</v>
      </c>
      <c r="I13" s="142">
        <f>INDEX('Navet '!$F$3:$F$14,COLUMNS($A$2:G$2))</f>
        <v>66.022167366938092</v>
      </c>
      <c r="J13" s="142">
        <f>INDEX('Navet '!$F$3:$F$14,COLUMNS($A$2:H$2))</f>
        <v>69.328633039262243</v>
      </c>
      <c r="K13" s="142">
        <f>INDEX('Navet '!$F$3:$F$14,COLUMNS($A$2:I$2))</f>
        <v>92.59</v>
      </c>
      <c r="L13" s="142">
        <f>INDEX('Navet '!$F$3:$F$14,COLUMNS($A$2:J$2))</f>
        <v>99.01</v>
      </c>
      <c r="M13" s="142">
        <f>INDEX('Navet '!$F$3:$F$14,COLUMNS($A$2:K$2))</f>
        <v>98.52</v>
      </c>
      <c r="N13" s="142">
        <f>INDEX('Navet '!$F$3:$F$14,COLUMNS($A$2:L$2))</f>
        <v>100</v>
      </c>
    </row>
    <row r="14" spans="1:14" x14ac:dyDescent="0.25">
      <c r="A14" s="241"/>
      <c r="B14" s="131" t="s">
        <v>136</v>
      </c>
      <c r="C14" s="142" t="str">
        <f>INDEX('Navet '!$D$3:$D$14,COLUMNS($A$2:A$2))</f>
        <v>-</v>
      </c>
      <c r="D14" s="142" t="str">
        <f>INDEX('Navet '!$D$3:$D$14,COLUMNS($A$2:B$2))</f>
        <v>-</v>
      </c>
      <c r="E14" s="142">
        <f>INDEX('Navet '!$D$3:$D$14,COLUMNS($A$2:C$2))</f>
        <v>0</v>
      </c>
      <c r="F14" s="142">
        <f>INDEX('Navet '!$D$3:$D$14,COLUMNS($A$2:D$2))</f>
        <v>0</v>
      </c>
      <c r="G14" s="142">
        <f>INDEX('Navet '!$D$3:$D$14,COLUMNS($A$2:E$2))</f>
        <v>0</v>
      </c>
      <c r="H14" s="142">
        <f>INDEX('Navet '!$D$3:$D$14,COLUMNS($A$2:F$2))</f>
        <v>10</v>
      </c>
      <c r="I14" s="142">
        <f>INDEX('Navet '!$D$3:$D$14,COLUMNS($A$2:G$2))</f>
        <v>10</v>
      </c>
      <c r="J14" s="142">
        <f>INDEX('Navet '!$D$3:$D$14,COLUMNS($A$2:H$2))</f>
        <v>10</v>
      </c>
      <c r="K14" s="142" t="str">
        <f>INDEX('Navet '!$D$3:$D$14,COLUMNS($A$2:I$2))</f>
        <v>-</v>
      </c>
      <c r="L14" s="142" t="str">
        <f>INDEX('Navet '!$D$3:$D$14,COLUMNS($A$2:J$2))</f>
        <v>-</v>
      </c>
      <c r="M14" s="142" t="str">
        <f>INDEX('Navet '!$D$3:$D$14,COLUMNS($A$2:K$2))</f>
        <v>-</v>
      </c>
      <c r="N14" s="142" t="str">
        <f>INDEX('Navet '!$D$3:$D$14,COLUMNS($A$2:L$2))</f>
        <v>-</v>
      </c>
    </row>
    <row r="15" spans="1:14" x14ac:dyDescent="0.25">
      <c r="A15" s="241"/>
      <c r="B15" s="131" t="s">
        <v>133</v>
      </c>
      <c r="C15" s="142" t="str">
        <f>INDEX('Navet '!$C$3:$C$14,COLUMNS($A$2:A$2))</f>
        <v>-</v>
      </c>
      <c r="D15" s="142" t="str">
        <f>INDEX('Navet '!$C$3:$C$14,COLUMNS($A$2:B$2))</f>
        <v>-</v>
      </c>
      <c r="E15" s="142">
        <f>INDEX('Navet '!$C$3:$C$14,COLUMNS($A$2:C$2))</f>
        <v>20</v>
      </c>
      <c r="F15" s="142">
        <f>INDEX('Navet '!$C$3:$C$14,COLUMNS($A$2:D$2))</f>
        <v>20</v>
      </c>
      <c r="G15" s="142">
        <f>INDEX('Navet '!$C$3:$C$14,COLUMNS($A$2:E$2))</f>
        <v>20</v>
      </c>
      <c r="H15" s="142">
        <f>INDEX('Navet '!$C$3:$C$14,COLUMNS($A$2:F$2))</f>
        <v>20</v>
      </c>
      <c r="I15" s="142">
        <f>INDEX('Navet '!$C$3:$C$14,COLUMNS($A$2:G$2))</f>
        <v>20</v>
      </c>
      <c r="J15" s="142">
        <f>INDEX('Navet '!$C$3:$C$14,COLUMNS($A$2:H$2))</f>
        <v>20</v>
      </c>
      <c r="K15" s="142" t="str">
        <f>INDEX('Navet '!$C$3:$C$14,COLUMNS($A$2:I$2))</f>
        <v>-</v>
      </c>
      <c r="L15" s="142" t="str">
        <f>INDEX('Navet '!$C$3:$C$14,COLUMNS($A$2:J$2))</f>
        <v>-</v>
      </c>
      <c r="M15" s="142" t="str">
        <f>INDEX('Navet '!$C$3:$C$14,COLUMNS($A$2:K$2))</f>
        <v>-</v>
      </c>
      <c r="N15" s="142" t="str">
        <f>INDEX('Navet '!$C$3:$C$14,COLUMNS($A$2:L$2))</f>
        <v>-</v>
      </c>
    </row>
    <row r="16" spans="1:14" x14ac:dyDescent="0.25">
      <c r="A16" s="242"/>
      <c r="B16" s="131" t="s">
        <v>135</v>
      </c>
      <c r="C16" s="141" t="str">
        <f>INDEX('Navet '!$H$3:$H$14,COLUMNS($A$2:A$2))</f>
        <v>-</v>
      </c>
      <c r="D16" s="141" t="str">
        <f>INDEX('Navet '!$H$3:$H$14,COLUMNS($A$2:B$2))</f>
        <v>-</v>
      </c>
      <c r="E16" s="141">
        <f>INDEX('Navet '!$H$3:$H$14,COLUMNS($A$2:C$2))</f>
        <v>168.07293830529503</v>
      </c>
      <c r="F16" s="141">
        <f>INDEX('Navet '!$H$3:$H$14,COLUMNS($A$2:D$2))</f>
        <v>140.109208371292</v>
      </c>
      <c r="G16" s="141">
        <f>INDEX('Navet '!$H$3:$H$14,COLUMNS($A$2:E$2))</f>
        <v>115.33861130293288</v>
      </c>
      <c r="H16" s="141">
        <f>INDEX('Navet '!$H$3:$H$14,COLUMNS($A$2:F$2))</f>
        <v>129.11874218872572</v>
      </c>
      <c r="I16" s="141">
        <f>INDEX('Navet '!$H$3:$H$14,COLUMNS($A$2:G$2))</f>
        <v>131.94488891804966</v>
      </c>
      <c r="J16" s="141">
        <f>INDEX('Navet '!$H$3:$H$14,COLUMNS($A$2:H$2))</f>
        <v>138.64048190450606</v>
      </c>
      <c r="K16" s="141" t="str">
        <f>INDEX('Navet '!$H$3:$H$14,COLUMNS($A$2:I$2))</f>
        <v>-</v>
      </c>
      <c r="L16" s="141" t="str">
        <f>INDEX('Navet '!$H$3:$H$14,COLUMNS($A$2:J$2))</f>
        <v>-</v>
      </c>
      <c r="M16" s="141" t="str">
        <f>INDEX('Navet '!$H$3:$H$14,COLUMNS($A$2:K$2))</f>
        <v>-</v>
      </c>
      <c r="N16" s="141" t="str">
        <f>INDEX('Navet '!$H$3:$H$14,COLUMNS($A$2:L$2))</f>
        <v>-</v>
      </c>
    </row>
    <row r="17" spans="1:14" s="135" customFormat="1" x14ac:dyDescent="0.25">
      <c r="A17" s="153"/>
      <c r="B17" s="154"/>
      <c r="C17" s="155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5"/>
    </row>
    <row r="18" spans="1:14" s="135" customFormat="1" ht="15" customHeight="1" x14ac:dyDescent="0.25">
      <c r="A18" s="240" t="s">
        <v>72</v>
      </c>
      <c r="B18" s="131" t="s">
        <v>144</v>
      </c>
      <c r="C18" s="142" t="str">
        <f>INDEX('Hollis '!$B$3:$B$14,COLUMNS($A$2:A$2))</f>
        <v>-</v>
      </c>
      <c r="D18" s="142" t="str">
        <f>INDEX('Hollis '!$B$3:$B$14,COLUMNS($A$2:B$2))</f>
        <v>-</v>
      </c>
      <c r="E18" s="142">
        <f>INDEX('Hollis '!$B$3:$B$14,COLUMNS($A$2:C$2))</f>
        <v>110</v>
      </c>
      <c r="F18" s="142">
        <f>INDEX('Hollis '!$B$3:$B$14,COLUMNS($A$2:D$2))</f>
        <v>92</v>
      </c>
      <c r="G18" s="142">
        <f>INDEX('Hollis '!$B$3:$B$14,COLUMNS($A$2:E$2))</f>
        <v>94</v>
      </c>
      <c r="H18" s="142">
        <f>INDEX('Hollis '!$B$3:$B$14,COLUMNS($A$2:F$2))</f>
        <v>335</v>
      </c>
      <c r="I18" s="142">
        <f>INDEX('Hollis '!$B$3:$B$14,COLUMNS($A$2:G$2))</f>
        <v>344</v>
      </c>
      <c r="J18" s="142">
        <f>INDEX('Hollis '!$B$3:$B$14,COLUMNS($A$2:H$2))</f>
        <v>356</v>
      </c>
      <c r="K18" s="142" t="str">
        <f>INDEX('Hollis '!$B$3:$B$14,COLUMNS($A$2:I$2))</f>
        <v>-</v>
      </c>
      <c r="L18" s="142" t="str">
        <f>INDEX('Hollis '!$B$3:$B$14,COLUMNS($A$2:J$2))</f>
        <v>-</v>
      </c>
      <c r="M18" s="142" t="str">
        <f>INDEX('Hollis '!$B$3:$B$14,COLUMNS($A$2:K$2))</f>
        <v>-</v>
      </c>
      <c r="N18" s="142" t="str">
        <f>INDEX('Hollis '!$B$3:$B$14,COLUMNS($A$2:L$2))</f>
        <v>-</v>
      </c>
    </row>
    <row r="19" spans="1:14" s="135" customFormat="1" ht="15" customHeight="1" x14ac:dyDescent="0.25">
      <c r="A19" s="241"/>
      <c r="B19" s="206" t="s">
        <v>146</v>
      </c>
      <c r="C19" s="144">
        <v>162.1</v>
      </c>
      <c r="D19" s="144">
        <v>109.4</v>
      </c>
      <c r="E19" s="144">
        <v>89.8</v>
      </c>
      <c r="F19" s="144">
        <v>105.1</v>
      </c>
      <c r="G19" s="144">
        <v>196.9</v>
      </c>
      <c r="H19" s="144">
        <v>355.1</v>
      </c>
      <c r="I19" s="163">
        <v>347.6</v>
      </c>
      <c r="J19" s="144">
        <v>349.2</v>
      </c>
      <c r="K19" s="144">
        <v>267.10000000000002</v>
      </c>
      <c r="L19" s="144">
        <v>308.60000000000002</v>
      </c>
      <c r="M19" s="144">
        <v>396</v>
      </c>
      <c r="N19" s="144">
        <v>281.3</v>
      </c>
    </row>
    <row r="20" spans="1:14" x14ac:dyDescent="0.25">
      <c r="A20" s="241"/>
      <c r="B20" s="131" t="s">
        <v>132</v>
      </c>
      <c r="C20" s="142">
        <f>INDEX('Hollis '!$D$3:$D$14,COLUMNS($A$2:A$2))</f>
        <v>619</v>
      </c>
      <c r="D20" s="142">
        <f>INDEX('Hollis '!$D$3:$D$14,COLUMNS($A$2:B$2))</f>
        <v>618.20000000000005</v>
      </c>
      <c r="E20" s="142">
        <f>INDEX('Hollis '!$D$3:$D$14,COLUMNS($A$2:C$2))</f>
        <v>614.06648088216059</v>
      </c>
      <c r="F20" s="142">
        <f>INDEX('Hollis '!$D$3:$D$14,COLUMNS($A$2:D$2))</f>
        <v>609.78113675244504</v>
      </c>
      <c r="G20" s="142">
        <f>INDEX('Hollis '!$D$3:$D$14,COLUMNS($A$2:E$2))</f>
        <v>605.05866388234529</v>
      </c>
      <c r="H20" s="142">
        <f>INDEX('Hollis '!$D$3:$D$14,COLUMNS($A$2:F$2))</f>
        <v>607.60531842552086</v>
      </c>
      <c r="I20" s="142">
        <f>INDEX('Hollis '!$D$3:$D$14,COLUMNS($A$2:G$2))</f>
        <v>610.45205649263403</v>
      </c>
      <c r="J20" s="142">
        <f>INDEX('Hollis '!$D$3:$D$14,COLUMNS($A$2:H$2))</f>
        <v>613.22768100957978</v>
      </c>
      <c r="K20" s="142">
        <f>INDEX('Hollis '!$D$3:$D$14,COLUMNS($A$2:I$2))</f>
        <v>619.66999999999996</v>
      </c>
      <c r="L20" s="142">
        <f>INDEX('Hollis '!$D$3:$D$14,COLUMNS($A$2:J$2))</f>
        <v>619.75</v>
      </c>
      <c r="M20" s="142">
        <f>INDEX('Hollis '!$D$3:$D$14,COLUMNS($A$2:K$2))</f>
        <v>619</v>
      </c>
      <c r="N20" s="142">
        <f>INDEX('Hollis '!$D$3:$D$14,COLUMNS($A$2:L$2))</f>
        <v>619</v>
      </c>
    </row>
    <row r="21" spans="1:14" x14ac:dyDescent="0.25">
      <c r="A21" s="241"/>
      <c r="B21" s="131" t="s">
        <v>70</v>
      </c>
      <c r="C21" s="142">
        <f>INDEX('Hollis '!$E$3:$E$14,COLUMNS($A$2:A$2))</f>
        <v>100</v>
      </c>
      <c r="D21" s="142">
        <f>INDEX('Hollis '!$E$3:$E$14,COLUMNS($A$2:B$2))</f>
        <v>94</v>
      </c>
      <c r="E21" s="142">
        <f>INDEX('Hollis '!$E$3:$E$14,COLUMNS($A$2:C$2))</f>
        <v>78.929928186796289</v>
      </c>
      <c r="F21" s="142">
        <f>INDEX('Hollis '!$E$3:$E$14,COLUMNS($A$2:D$2))</f>
        <v>62.851846935636246</v>
      </c>
      <c r="G21" s="142">
        <f>INDEX('Hollis '!$E$3:$E$14,COLUMNS($A$2:E$2))</f>
        <v>46.156332457415246</v>
      </c>
      <c r="H21" s="142">
        <f>INDEX('Hollis '!$E$3:$E$14,COLUMNS($A$2:F$2))</f>
        <v>55.570577626057592</v>
      </c>
      <c r="I21" s="142">
        <f>INDEX('Hollis '!$E$3:$E$14,COLUMNS($A$2:G$2))</f>
        <v>65.058068755552583</v>
      </c>
      <c r="J21" s="142">
        <f>INDEX('Hollis '!$E$3:$E$14,COLUMNS($A$2:H$2))</f>
        <v>75.779106330401348</v>
      </c>
      <c r="K21" s="142">
        <f>INDEX('Hollis '!$E$3:$E$14,COLUMNS($A$2:I$2))</f>
        <v>100</v>
      </c>
      <c r="L21" s="142">
        <f>INDEX('Hollis '!$E$3:$E$14,COLUMNS($A$2:J$2))</f>
        <v>100</v>
      </c>
      <c r="M21" s="142">
        <f>INDEX('Hollis '!$E$3:$E$14,COLUMNS($A$2:K$2))</f>
        <v>100</v>
      </c>
      <c r="N21" s="142">
        <f>INDEX('Hollis '!$E$3:$E$14,COLUMNS($A$2:L$2))</f>
        <v>100</v>
      </c>
    </row>
    <row r="22" spans="1:14" x14ac:dyDescent="0.25">
      <c r="A22" s="241"/>
      <c r="B22" s="131" t="s">
        <v>134</v>
      </c>
      <c r="C22" s="142" t="str">
        <f>INDEX('Hollis '!$F$3:$F$14,COLUMNS($A$2:A$2))</f>
        <v>-</v>
      </c>
      <c r="D22" s="142" t="str">
        <f>INDEX('Hollis '!$F$3:$F$14,COLUMNS($A$2:B$2))</f>
        <v>-</v>
      </c>
      <c r="E22" s="142">
        <f>INDEX('Hollis '!$F$3:$F$14,COLUMNS($A$2:C$2))</f>
        <v>777.45979263994343</v>
      </c>
      <c r="F22" s="142">
        <f>INDEX('Hollis '!$F$3:$F$14,COLUMNS($A$2:D$2))</f>
        <v>619.090692316017</v>
      </c>
      <c r="G22" s="142">
        <f>INDEX('Hollis '!$F$3:$F$14,COLUMNS($A$2:E$2))</f>
        <v>454.63987470554019</v>
      </c>
      <c r="H22" s="142">
        <f>INDEX('Hollis '!$F$3:$F$14,COLUMNS($A$2:F$2))</f>
        <v>547.37018961666729</v>
      </c>
      <c r="I22" s="142">
        <f>INDEX('Hollis '!$F$3:$F$14,COLUMNS($A$2:G$2))</f>
        <v>640.82197724219293</v>
      </c>
      <c r="J22" s="142">
        <f>INDEX('Hollis '!$F$3:$F$14,COLUMNS($A$2:H$2))</f>
        <v>746.42419735445333</v>
      </c>
      <c r="K22" s="142" t="str">
        <f>INDEX('Hollis '!$F$3:$F$14,COLUMNS($A$2:I$2))</f>
        <v>-</v>
      </c>
      <c r="L22" s="142" t="str">
        <f>INDEX('Hollis '!$F$3:$F$14,COLUMNS($A$2:J$2))</f>
        <v>-</v>
      </c>
      <c r="M22" s="142" t="str">
        <f>INDEX('Hollis '!$F$3:$F$14,COLUMNS($A$2:K$2))</f>
        <v>-</v>
      </c>
      <c r="N22" s="142" t="str">
        <f>INDEX('Hollis '!$F$3:$F$14,COLUMNS($A$2:L$2))</f>
        <v>-</v>
      </c>
    </row>
    <row r="23" spans="1:14" x14ac:dyDescent="0.25">
      <c r="A23" s="241"/>
      <c r="B23" s="131" t="s">
        <v>133</v>
      </c>
      <c r="C23" s="142" t="str">
        <f>INDEX('Hollis '!$C$3:$C$14,COLUMNS($A$2:A$2))</f>
        <v>-</v>
      </c>
      <c r="D23" s="142" t="str">
        <f>INDEX('Hollis '!$C$3:$C$14,COLUMNS($A$2:B$2))</f>
        <v>-</v>
      </c>
      <c r="E23" s="142">
        <f>INDEX('Hollis '!$C$3:$C$14,COLUMNS($A$2:C$2))</f>
        <v>8.4</v>
      </c>
      <c r="F23" s="142">
        <f>INDEX('Hollis '!$C$3:$C$14,COLUMNS($A$2:D$2))</f>
        <v>8.4</v>
      </c>
      <c r="G23" s="142">
        <f>INDEX('Hollis '!$C$3:$C$14,COLUMNS($A$2:E$2))</f>
        <v>8.4</v>
      </c>
      <c r="H23" s="142">
        <f>INDEX('Hollis '!$C$3:$C$14,COLUMNS($A$2:F$2))</f>
        <v>8.4</v>
      </c>
      <c r="I23" s="142">
        <f>INDEX('Hollis '!$C$3:$C$14,COLUMNS($A$2:G$2))</f>
        <v>8.4</v>
      </c>
      <c r="J23" s="142">
        <f>INDEX('Hollis '!$C$3:$C$14,COLUMNS($A$2:H$2))</f>
        <v>8.4</v>
      </c>
      <c r="K23" s="142" t="str">
        <f>INDEX('Hollis '!$C$3:$C$14,COLUMNS($A$2:I$2))</f>
        <v>-</v>
      </c>
      <c r="L23" s="142" t="str">
        <f>INDEX('Hollis '!$C$3:$C$14,COLUMNS($A$2:J$2))</f>
        <v>-</v>
      </c>
      <c r="M23" s="142" t="str">
        <f>INDEX('Hollis '!$C$3:$C$14,COLUMNS($A$2:K$2))</f>
        <v>-</v>
      </c>
      <c r="N23" s="142" t="str">
        <f>INDEX('Hollis '!$C$3:$C$14,COLUMNS($A$2:L$2))</f>
        <v>-</v>
      </c>
    </row>
    <row r="24" spans="1:14" x14ac:dyDescent="0.25">
      <c r="A24" s="242"/>
      <c r="B24" s="131" t="s">
        <v>135</v>
      </c>
      <c r="C24" s="141" t="str">
        <f>INDEX('Hollis '!$H$3:$H$14,COLUMNS($A$2:A$2))</f>
        <v>-</v>
      </c>
      <c r="D24" s="141" t="str">
        <f>INDEX('Hollis '!$H$3:$H$14,COLUMNS($A$2:B$2))</f>
        <v>-</v>
      </c>
      <c r="E24" s="141">
        <f>INDEX('Hollis '!$H$3:$H$14,COLUMNS($A$2:C$2))</f>
        <v>91.364261028564698</v>
      </c>
      <c r="F24" s="141">
        <f>INDEX('Hollis '!$H$3:$H$14,COLUMNS($A$2:D$2))</f>
        <v>72.510796704287742</v>
      </c>
      <c r="G24" s="141">
        <f>INDEX('Hollis '!$H$3:$H$14,COLUMNS($A$2:E$2))</f>
        <v>52.933318417326213</v>
      </c>
      <c r="H24" s="141">
        <f>INDEX('Hollis '!$H$3:$H$14,COLUMNS($A$2:F$2))</f>
        <v>63.972641621031819</v>
      </c>
      <c r="I24" s="141">
        <f>INDEX('Hollis '!$H$3:$H$14,COLUMNS($A$2:G$2))</f>
        <v>75.097854433594392</v>
      </c>
      <c r="J24" s="141">
        <f>INDEX('Hollis '!$H$3:$H$14,COLUMNS($A$2:H$2))</f>
        <v>87.669547304101584</v>
      </c>
      <c r="K24" s="141" t="str">
        <f>INDEX('Hollis '!$H$3:$H$14,COLUMNS($A$2:I$2))</f>
        <v>-</v>
      </c>
      <c r="L24" s="141" t="str">
        <f>INDEX('Hollis '!$H$3:$H$14,COLUMNS($A$2:J$2))</f>
        <v>-</v>
      </c>
      <c r="M24" s="141" t="str">
        <f>INDEX('Hollis '!$H$3:$H$14,COLUMNS($A$2:K$2))</f>
        <v>-</v>
      </c>
      <c r="N24" s="141" t="str">
        <f>INDEX('Hollis '!$H$3:$H$14,COLUMNS($A$2:L$2))</f>
        <v>-</v>
      </c>
    </row>
    <row r="25" spans="1:14" s="135" customFormat="1" x14ac:dyDescent="0.25">
      <c r="A25" s="153"/>
      <c r="B25" s="154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</row>
    <row r="26" spans="1:14" s="135" customFormat="1" ht="15" customHeight="1" x14ac:dyDescent="0.25">
      <c r="A26" s="240" t="s">
        <v>73</v>
      </c>
      <c r="B26" s="131" t="s">
        <v>144</v>
      </c>
      <c r="C26" s="142" t="str">
        <f>INDEX('Hillsborough '!$B$3:$B$14,COLUMNS($A$2:A$2))</f>
        <v>-</v>
      </c>
      <c r="D26" s="142" t="str">
        <f>INDEX('Hillsborough '!$B$3:$B$14,COLUMNS($A$2:B$2))</f>
        <v>-</v>
      </c>
      <c r="E26" s="142">
        <f>INDEX('Hillsborough '!$B$3:$B$14,COLUMNS($A$2:C$2))</f>
        <v>72</v>
      </c>
      <c r="F26" s="142">
        <f>INDEX('Hillsborough '!$B$3:$B$14,COLUMNS($A$2:D$2))</f>
        <v>74</v>
      </c>
      <c r="G26" s="142">
        <f>INDEX('Hillsborough '!$B$3:$B$14,COLUMNS($A$2:E$2))</f>
        <v>56</v>
      </c>
      <c r="H26" s="142">
        <f>INDEX('Hillsborough '!$B$3:$B$14,COLUMNS($A$2:F$2))</f>
        <v>208</v>
      </c>
      <c r="I26" s="142">
        <f>INDEX('Hillsborough '!$B$3:$B$14,COLUMNS($A$2:G$2))</f>
        <v>178</v>
      </c>
      <c r="J26" s="142">
        <f>INDEX('Hillsborough '!$B$3:$B$14,COLUMNS($A$2:H$2))</f>
        <v>256</v>
      </c>
      <c r="K26" s="142" t="str">
        <f>INDEX('Hillsborough '!$B$3:$B$14,COLUMNS($A$2:I$2))</f>
        <v>-</v>
      </c>
      <c r="L26" s="142" t="str">
        <f>INDEX('Hillsborough '!$B$3:$B$14,COLUMNS($A$2:J$2))</f>
        <v>-</v>
      </c>
      <c r="M26" s="142" t="str">
        <f>INDEX('Hillsborough '!$B$3:$B$14,COLUMNS($A$2:K$2))</f>
        <v>-</v>
      </c>
      <c r="N26" s="142" t="str">
        <f>INDEX('Hillsborough '!$B$3:$B$14,COLUMNS($A$2:L$2))</f>
        <v>-</v>
      </c>
    </row>
    <row r="27" spans="1:14" s="135" customFormat="1" ht="15" customHeight="1" x14ac:dyDescent="0.25">
      <c r="A27" s="241"/>
      <c r="B27" s="206" t="s">
        <v>146</v>
      </c>
      <c r="C27" s="144">
        <v>113.2</v>
      </c>
      <c r="D27" s="144">
        <v>81.2</v>
      </c>
      <c r="E27" s="144">
        <v>51.9</v>
      </c>
      <c r="F27" s="144">
        <v>67.599999999999994</v>
      </c>
      <c r="G27" s="144">
        <v>131.19999999999999</v>
      </c>
      <c r="H27" s="144">
        <v>244</v>
      </c>
      <c r="I27" s="163">
        <v>233.9</v>
      </c>
      <c r="J27" s="144">
        <v>234.1</v>
      </c>
      <c r="K27" s="144">
        <v>238.6</v>
      </c>
      <c r="L27" s="144">
        <v>279.3</v>
      </c>
      <c r="M27" s="144">
        <v>341.7</v>
      </c>
      <c r="N27" s="144">
        <v>231.6</v>
      </c>
    </row>
    <row r="28" spans="1:14" x14ac:dyDescent="0.25">
      <c r="A28" s="241"/>
      <c r="B28" s="131" t="s">
        <v>132</v>
      </c>
      <c r="C28" s="142">
        <f>INDEX('Hillsborough '!$D$3:$D$14,COLUMNS($A$2:A$2))</f>
        <v>870</v>
      </c>
      <c r="D28" s="142">
        <f>INDEX('Hillsborough '!$D$3:$D$14,COLUMNS($A$2:B$2))</f>
        <v>870</v>
      </c>
      <c r="E28" s="142">
        <f>INDEX('Hillsborough '!$D$3:$D$14,COLUMNS($A$2:C$2))</f>
        <v>868.15214781673058</v>
      </c>
      <c r="F28" s="142">
        <f>INDEX('Hillsborough '!$D$3:$D$14,COLUMNS($A$2:D$2))</f>
        <v>866.16269957237023</v>
      </c>
      <c r="G28" s="142">
        <f>INDEX('Hillsborough '!$D$3:$D$14,COLUMNS($A$2:E$2))</f>
        <v>862.904018240553</v>
      </c>
      <c r="H28" s="142">
        <f>INDEX('Hillsborough '!$D$3:$D$14,COLUMNS($A$2:F$2))</f>
        <v>863.53506226359866</v>
      </c>
      <c r="I28" s="142">
        <f>INDEX('Hillsborough '!$D$3:$D$14,COLUMNS($A$2:G$2))</f>
        <v>863.3854752203697</v>
      </c>
      <c r="J28" s="142">
        <f>INDEX('Hillsborough '!$D$3:$D$14,COLUMNS($A$2:H$2))</f>
        <v>864.87561002455323</v>
      </c>
      <c r="K28" s="142">
        <f>INDEX('Hillsborough '!$D$3:$D$14,COLUMNS($A$2:I$2))</f>
        <v>870</v>
      </c>
      <c r="L28" s="142">
        <f>INDEX('Hillsborough '!$D$3:$D$14,COLUMNS($A$2:J$2))</f>
        <v>870</v>
      </c>
      <c r="M28" s="142">
        <f>INDEX('Hillsborough '!$D$3:$D$14,COLUMNS($A$2:K$2))</f>
        <v>870</v>
      </c>
      <c r="N28" s="142">
        <f>INDEX('Hillsborough '!$D$3:$D$14,COLUMNS($A$2:L$2))</f>
        <v>870</v>
      </c>
    </row>
    <row r="29" spans="1:14" x14ac:dyDescent="0.25">
      <c r="A29" s="241"/>
      <c r="B29" s="131" t="s">
        <v>70</v>
      </c>
      <c r="C29" s="142">
        <f>INDEX('Hillsborough '!$E$3:$E$14,COLUMNS($A$2:A$2))</f>
        <v>100</v>
      </c>
      <c r="D29" s="142">
        <f>INDEX('Hillsborough '!$E$3:$E$14,COLUMNS($A$2:B$2))</f>
        <v>100</v>
      </c>
      <c r="E29" s="142">
        <f>INDEX('Hillsborough '!$E$3:$E$14,COLUMNS($A$2:C$2))</f>
        <v>88.637495585639627</v>
      </c>
      <c r="F29" s="142">
        <f>INDEX('Hillsborough '!$E$3:$E$14,COLUMNS($A$2:D$2))</f>
        <v>78.128753464920948</v>
      </c>
      <c r="G29" s="142">
        <f>INDEX('Hillsborough '!$E$3:$E$14,COLUMNS($A$2:E$2))</f>
        <v>63.616072962211845</v>
      </c>
      <c r="H29" s="142">
        <f>INDEX('Hillsborough '!$E$3:$E$14,COLUMNS($A$2:F$2))</f>
        <v>66.853665405859303</v>
      </c>
      <c r="I29" s="142">
        <f>INDEX('Hillsborough '!$E$3:$E$14,COLUMNS($A$2:G$2))</f>
        <v>66.055867841971576</v>
      </c>
      <c r="J29" s="142">
        <f>INDEX('Hillsborough '!$E$3:$E$14,COLUMNS($A$2:H$2))</f>
        <v>74.003253464283802</v>
      </c>
      <c r="K29" s="142">
        <f>INDEX('Hillsborough '!$E$3:$E$14,COLUMNS($A$2:I$2))</f>
        <v>100</v>
      </c>
      <c r="L29" s="142">
        <f>INDEX('Hillsborough '!$E$3:$E$14,COLUMNS($A$2:J$2))</f>
        <v>100</v>
      </c>
      <c r="M29" s="142">
        <f>INDEX('Hillsborough '!$E$3:$E$14,COLUMNS($A$2:K$2))</f>
        <v>100</v>
      </c>
      <c r="N29" s="142">
        <f>INDEX('Hillsborough '!$E$3:$E$14,COLUMNS($A$2:L$2))</f>
        <v>100</v>
      </c>
    </row>
    <row r="30" spans="1:14" x14ac:dyDescent="0.25">
      <c r="A30" s="241"/>
      <c r="B30" s="131" t="s">
        <v>134</v>
      </c>
      <c r="C30" s="141" t="str">
        <f>INDEX('Hillsborough '!$F$3:$F$14,COLUMNS($A$2:A$2))</f>
        <v>-</v>
      </c>
      <c r="D30" s="141" t="str">
        <f>INDEX('Hillsborough '!$F$3:$F$14,COLUMNS($A$2:B$2))</f>
        <v>-</v>
      </c>
      <c r="E30" s="141">
        <f>INDEX('Hillsborough '!$F$3:$F$14,COLUMNS($A$2:C$2))</f>
        <v>199.43436506768916</v>
      </c>
      <c r="F30" s="141">
        <f>INDEX('Hillsborough '!$F$3:$F$14,COLUMNS($A$2:D$2))</f>
        <v>175.78969529607213</v>
      </c>
      <c r="G30" s="141">
        <f>INDEX('Hillsborough '!$F$3:$F$14,COLUMNS($A$2:E$2))</f>
        <v>143.13616416497663</v>
      </c>
      <c r="H30" s="141">
        <f>INDEX('Hillsborough '!$F$3:$F$14,COLUMNS($A$2:F$2))</f>
        <v>150.42074716318342</v>
      </c>
      <c r="I30" s="141">
        <f>INDEX('Hillsborough '!$F$3:$F$14,COLUMNS($A$2:G$2))</f>
        <v>148.62570264443607</v>
      </c>
      <c r="J30" s="141">
        <f>INDEX('Hillsborough '!$F$3:$F$14,COLUMNS($A$2:H$2))</f>
        <v>166.50732029463853</v>
      </c>
      <c r="K30" s="141" t="str">
        <f>INDEX('Hillsborough '!$F$3:$F$14,COLUMNS($A$2:I$2))</f>
        <v>-</v>
      </c>
      <c r="L30" s="141" t="str">
        <f>INDEX('Hillsborough '!$F$3:$F$14,COLUMNS($A$2:J$2))</f>
        <v>-</v>
      </c>
      <c r="M30" s="141" t="str">
        <f>INDEX('Hillsborough '!$F$3:$F$14,COLUMNS($A$2:K$2))</f>
        <v>-</v>
      </c>
      <c r="N30" s="141" t="str">
        <f>INDEX('Hillsborough '!$F$3:$F$14,COLUMNS($A$2:L$2))</f>
        <v>-</v>
      </c>
    </row>
    <row r="31" spans="1:14" x14ac:dyDescent="0.25">
      <c r="A31" s="241"/>
      <c r="B31" s="131" t="s">
        <v>133</v>
      </c>
      <c r="C31" s="140" t="str">
        <f>INDEX('Hillsborough '!$C$3:$C$14,COLUMNS($A$2:A$2))</f>
        <v>-</v>
      </c>
      <c r="D31" s="142" t="str">
        <f>INDEX('Hillsborough '!$C$3:$C$14,COLUMNS($A$2:B$2))</f>
        <v>-</v>
      </c>
      <c r="E31" s="142">
        <f>INDEX('Hillsborough '!$C$3:$C$14,COLUMNS($A$2:C$2))</f>
        <v>1.4</v>
      </c>
      <c r="F31" s="142">
        <f>INDEX('Hillsborough '!$C$3:$C$14,COLUMNS($A$2:D$2))</f>
        <v>1.4</v>
      </c>
      <c r="G31" s="142">
        <f>INDEX('Hillsborough '!$C$3:$C$14,COLUMNS($A$2:E$2))</f>
        <v>1.5</v>
      </c>
      <c r="H31" s="142">
        <f>INDEX('Hillsborough '!$C$3:$C$14,COLUMNS($A$2:F$2))</f>
        <v>1.5</v>
      </c>
      <c r="I31" s="142">
        <f>INDEX('Hillsborough '!$C$3:$C$14,COLUMNS($A$2:G$2))</f>
        <v>1.5</v>
      </c>
      <c r="J31" s="142">
        <f>INDEX('Hillsborough '!$C$3:$C$14,COLUMNS($A$2:H$2))</f>
        <v>1.5</v>
      </c>
      <c r="K31" s="142" t="str">
        <f>INDEX('Hillsborough '!$C$3:$C$14,COLUMNS($A$2:I$2))</f>
        <v>-</v>
      </c>
      <c r="L31" s="142" t="str">
        <f>INDEX('Hillsborough '!$C$3:$C$14,COLUMNS($A$2:J$2))</f>
        <v>-</v>
      </c>
      <c r="M31" s="142" t="str">
        <f>INDEX('Hillsborough '!$C$3:$C$14,COLUMNS($A$2:K$2))</f>
        <v>-</v>
      </c>
      <c r="N31" s="142" t="str">
        <f>INDEX('Hillsborough '!$C$3:$C$14,COLUMNS($A$2:L$2))</f>
        <v>-</v>
      </c>
    </row>
    <row r="32" spans="1:14" x14ac:dyDescent="0.25">
      <c r="A32" s="242"/>
      <c r="B32" s="131" t="s">
        <v>135</v>
      </c>
      <c r="C32" s="141" t="str">
        <f>INDEX('Hillsborough '!$H$3:$H$14,COLUMNS($A$2:A$2))</f>
        <v>-</v>
      </c>
      <c r="D32" s="141" t="str">
        <f>INDEX('Hillsborough '!$H$3:$H$14,COLUMNS($A$2:B$2))</f>
        <v>-</v>
      </c>
      <c r="E32" s="141">
        <f>INDEX('Hillsborough '!$H$3:$H$14,COLUMNS($A$2:C$2))</f>
        <v>117.45311790549225</v>
      </c>
      <c r="F32" s="141">
        <f>INDEX('Hillsborough '!$H$3:$H$14,COLUMNS($A$2:D$2))</f>
        <v>100.56406806862294</v>
      </c>
      <c r="G32" s="141">
        <f>INDEX('Hillsborough '!$H$3:$H$14,COLUMNS($A$2:E$2))</f>
        <v>72.090776109984432</v>
      </c>
      <c r="H32" s="141">
        <f>INDEX('Hillsborough '!$H$3:$H$14,COLUMNS($A$2:F$2))</f>
        <v>76.947164775455619</v>
      </c>
      <c r="I32" s="141">
        <f>INDEX('Hillsborough '!$H$3:$H$14,COLUMNS($A$2:G$2))</f>
        <v>75.75046842962405</v>
      </c>
      <c r="J32" s="141">
        <f>INDEX('Hillsborough '!$H$3:$H$14,COLUMNS($A$2:H$2))</f>
        <v>87.671546863092374</v>
      </c>
      <c r="K32" s="141" t="str">
        <f>INDEX('Hillsborough '!$H$3:$H$14,COLUMNS($A$2:I$2))</f>
        <v>-</v>
      </c>
      <c r="L32" s="141" t="str">
        <f>INDEX('Hillsborough '!$H$3:$H$14,COLUMNS($A$2:J$2))</f>
        <v>-</v>
      </c>
      <c r="M32" s="141" t="str">
        <f>INDEX('Hillsborough '!$H$3:$H$14,COLUMNS($A$2:K$2))</f>
        <v>-</v>
      </c>
      <c r="N32" s="141" t="str">
        <f>INDEX('Hillsborough '!$H$3:$H$14,COLUMNS($A$2:L$2))</f>
        <v>-</v>
      </c>
    </row>
    <row r="33" spans="1:14" x14ac:dyDescent="0.25">
      <c r="A33" s="137"/>
      <c r="B33" s="138"/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</row>
    <row r="34" spans="1:14" x14ac:dyDescent="0.25">
      <c r="C34" s="132"/>
      <c r="D34" s="132"/>
      <c r="E34" s="132"/>
      <c r="F34" s="132"/>
      <c r="G34" s="132"/>
      <c r="H34" s="132"/>
      <c r="I34" s="132"/>
    </row>
    <row r="37" spans="1:14" x14ac:dyDescent="0.25">
      <c r="A37" s="133" t="s">
        <v>129</v>
      </c>
      <c r="B37" s="133" t="s">
        <v>130</v>
      </c>
      <c r="C37" s="136">
        <v>43070</v>
      </c>
      <c r="D37" s="136">
        <v>43101</v>
      </c>
      <c r="E37" s="136">
        <v>43132</v>
      </c>
      <c r="F37" s="136">
        <v>43160</v>
      </c>
      <c r="G37" s="136">
        <v>43191</v>
      </c>
      <c r="H37" s="136">
        <v>43221</v>
      </c>
    </row>
    <row r="38" spans="1:14" x14ac:dyDescent="0.25">
      <c r="A38" s="240" t="s">
        <v>131</v>
      </c>
      <c r="B38" s="131" t="s">
        <v>132</v>
      </c>
      <c r="C38" s="140">
        <v>119</v>
      </c>
      <c r="D38" s="140">
        <v>118.09743321621032</v>
      </c>
      <c r="E38" s="140">
        <v>115.81598511669615</v>
      </c>
      <c r="F38" s="140">
        <v>112.5568705606799</v>
      </c>
      <c r="G38" s="140">
        <v>109.40275608627236</v>
      </c>
      <c r="H38" s="140">
        <v>105.76354656565687</v>
      </c>
    </row>
    <row r="39" spans="1:14" x14ac:dyDescent="0.25">
      <c r="A39" s="241"/>
      <c r="B39" s="131" t="s">
        <v>70</v>
      </c>
      <c r="C39" s="140">
        <v>100</v>
      </c>
      <c r="D39" s="140">
        <v>96.275121209756861</v>
      </c>
      <c r="E39" s="140">
        <v>86.859621116523812</v>
      </c>
      <c r="F39" s="140">
        <v>73.4093070758218</v>
      </c>
      <c r="G39" s="140">
        <v>60.980090556855991</v>
      </c>
      <c r="H39" s="140">
        <v>49.542574920635843</v>
      </c>
    </row>
    <row r="40" spans="1:14" ht="25.5" x14ac:dyDescent="0.25">
      <c r="A40" s="241"/>
      <c r="B40" s="131" t="s">
        <v>120</v>
      </c>
      <c r="C40" s="142">
        <v>0</v>
      </c>
      <c r="D40" s="142">
        <v>-20</v>
      </c>
      <c r="E40" s="142">
        <v>-35</v>
      </c>
      <c r="F40" s="142">
        <v>-40</v>
      </c>
      <c r="G40" s="142">
        <v>-40</v>
      </c>
      <c r="H40" s="142">
        <v>-40</v>
      </c>
    </row>
    <row r="41" spans="1:14" x14ac:dyDescent="0.25">
      <c r="A41" s="241"/>
      <c r="B41" s="131" t="s">
        <v>133</v>
      </c>
      <c r="C41" s="161" t="s">
        <v>124</v>
      </c>
      <c r="D41" s="161" t="s">
        <v>138</v>
      </c>
      <c r="E41" s="161" t="s">
        <v>138</v>
      </c>
      <c r="F41" s="161" t="s">
        <v>138</v>
      </c>
      <c r="G41" s="161" t="s">
        <v>138</v>
      </c>
      <c r="H41" s="161" t="s">
        <v>138</v>
      </c>
    </row>
    <row r="42" spans="1:14" x14ac:dyDescent="0.25">
      <c r="A42" s="242"/>
      <c r="B42" s="131" t="s">
        <v>135</v>
      </c>
      <c r="C42" s="141" t="s">
        <v>137</v>
      </c>
      <c r="D42" s="141">
        <v>457.20814374710505</v>
      </c>
      <c r="E42" s="141">
        <v>235.71095382391067</v>
      </c>
      <c r="F42" s="141">
        <v>174.30948203520043</v>
      </c>
      <c r="G42" s="141">
        <v>144.79646277612261</v>
      </c>
      <c r="H42" s="141">
        <v>117.63822486686331</v>
      </c>
    </row>
    <row r="43" spans="1:14" x14ac:dyDescent="0.25">
      <c r="A43" s="153"/>
      <c r="B43" s="154"/>
      <c r="C43" s="155"/>
      <c r="D43" s="155"/>
      <c r="E43" s="155"/>
      <c r="F43" s="155"/>
      <c r="G43" s="155"/>
      <c r="H43" s="155"/>
    </row>
    <row r="44" spans="1:14" x14ac:dyDescent="0.25">
      <c r="A44" s="240" t="s">
        <v>71</v>
      </c>
      <c r="B44" s="131" t="s">
        <v>132</v>
      </c>
      <c r="C44" s="140">
        <v>312</v>
      </c>
      <c r="D44" s="140">
        <v>311.16092681980501</v>
      </c>
      <c r="E44" s="140">
        <v>308.3247511779162</v>
      </c>
      <c r="F44" s="140">
        <v>304.88664868249856</v>
      </c>
      <c r="G44" s="140">
        <v>301.28248258876476</v>
      </c>
      <c r="H44" s="140">
        <v>297.85713003657685</v>
      </c>
    </row>
    <row r="45" spans="1:14" x14ac:dyDescent="0.25">
      <c r="A45" s="241"/>
      <c r="B45" s="131" t="s">
        <v>70</v>
      </c>
      <c r="C45" s="140">
        <v>100</v>
      </c>
      <c r="D45" s="140">
        <v>95.856428739777783</v>
      </c>
      <c r="E45" s="140">
        <v>85.153399424381064</v>
      </c>
      <c r="F45" s="140">
        <v>71.25508852623004</v>
      </c>
      <c r="G45" s="140">
        <v>59.070923168264486</v>
      </c>
      <c r="H45" s="140">
        <v>49.029950707597123</v>
      </c>
    </row>
    <row r="46" spans="1:14" x14ac:dyDescent="0.25">
      <c r="A46" s="241"/>
      <c r="B46" s="131" t="s">
        <v>136</v>
      </c>
      <c r="C46" s="142">
        <v>15</v>
      </c>
      <c r="D46" s="142">
        <v>5</v>
      </c>
      <c r="E46" s="142">
        <v>0</v>
      </c>
      <c r="F46" s="142">
        <v>0</v>
      </c>
      <c r="G46" s="142">
        <v>0</v>
      </c>
      <c r="H46" s="142">
        <v>0</v>
      </c>
    </row>
    <row r="47" spans="1:14" x14ac:dyDescent="0.25">
      <c r="A47" s="241"/>
      <c r="B47" s="131" t="s">
        <v>133</v>
      </c>
      <c r="C47" s="142">
        <v>20</v>
      </c>
      <c r="D47" s="142">
        <v>19</v>
      </c>
      <c r="E47" s="142">
        <v>19</v>
      </c>
      <c r="F47" s="142">
        <v>19</v>
      </c>
      <c r="G47" s="142">
        <v>19</v>
      </c>
      <c r="H47" s="142">
        <v>19</v>
      </c>
    </row>
    <row r="48" spans="1:14" x14ac:dyDescent="0.25">
      <c r="A48" s="242"/>
      <c r="B48" s="131" t="s">
        <v>135</v>
      </c>
      <c r="C48" s="141">
        <v>200.75</v>
      </c>
      <c r="D48" s="141">
        <v>202.48344020847367</v>
      </c>
      <c r="E48" s="141">
        <v>179.66908824670705</v>
      </c>
      <c r="F48" s="141">
        <v>150.0437413322272</v>
      </c>
      <c r="G48" s="141">
        <v>124.07223096393221</v>
      </c>
      <c r="H48" s="141">
        <v>102.66910545566756</v>
      </c>
    </row>
    <row r="49" spans="1:8" x14ac:dyDescent="0.25">
      <c r="A49" s="153"/>
      <c r="B49" s="154"/>
      <c r="C49" s="155"/>
      <c r="D49" s="155"/>
      <c r="E49" s="155"/>
      <c r="F49" s="155"/>
      <c r="G49" s="155"/>
      <c r="H49" s="155"/>
    </row>
    <row r="50" spans="1:8" x14ac:dyDescent="0.25">
      <c r="A50" s="240" t="s">
        <v>72</v>
      </c>
      <c r="B50" s="131" t="s">
        <v>132</v>
      </c>
      <c r="C50" s="140">
        <v>619</v>
      </c>
      <c r="D50" s="140">
        <v>618.91449344397381</v>
      </c>
      <c r="E50" s="140">
        <v>615.90859859482703</v>
      </c>
      <c r="F50" s="140">
        <v>611.54613211502215</v>
      </c>
      <c r="G50" s="140">
        <v>607.63448542136769</v>
      </c>
      <c r="H50" s="140">
        <v>603.90859423156473</v>
      </c>
    </row>
    <row r="51" spans="1:8" x14ac:dyDescent="0.25">
      <c r="A51" s="241"/>
      <c r="B51" s="131" t="s">
        <v>70</v>
      </c>
      <c r="C51" s="140">
        <v>100</v>
      </c>
      <c r="D51" s="140">
        <v>99.60936091155537</v>
      </c>
      <c r="E51" s="140">
        <v>86.679749782948718</v>
      </c>
      <c r="F51" s="140">
        <v>69.111981763537358</v>
      </c>
      <c r="G51" s="140">
        <v>55.665333348605841</v>
      </c>
      <c r="H51" s="140">
        <v>43.376429131669354</v>
      </c>
    </row>
    <row r="52" spans="1:8" x14ac:dyDescent="0.25">
      <c r="A52" s="241"/>
      <c r="B52" s="131" t="s">
        <v>134</v>
      </c>
      <c r="C52" s="140">
        <v>985</v>
      </c>
      <c r="D52" s="140">
        <v>981.15220497882046</v>
      </c>
      <c r="E52" s="140">
        <v>853.79553536204492</v>
      </c>
      <c r="F52" s="140">
        <v>680.75302037084305</v>
      </c>
      <c r="G52" s="140">
        <v>548.30353348376752</v>
      </c>
      <c r="H52" s="140">
        <v>427.25782694694317</v>
      </c>
    </row>
    <row r="53" spans="1:8" x14ac:dyDescent="0.25">
      <c r="A53" s="241"/>
      <c r="B53" s="131" t="s">
        <v>133</v>
      </c>
      <c r="C53" s="142">
        <v>8.4</v>
      </c>
      <c r="D53" s="142">
        <v>8.4</v>
      </c>
      <c r="E53" s="142">
        <v>8.4</v>
      </c>
      <c r="F53" s="142">
        <v>8.4</v>
      </c>
      <c r="G53" s="142">
        <v>8.4</v>
      </c>
      <c r="H53" s="142">
        <v>8.4</v>
      </c>
    </row>
    <row r="54" spans="1:8" x14ac:dyDescent="0.25">
      <c r="A54" s="242"/>
      <c r="B54" s="131" t="s">
        <v>135</v>
      </c>
      <c r="C54" s="141">
        <v>116.07142857142856</v>
      </c>
      <c r="D54" s="141">
        <v>115.61335773557384</v>
      </c>
      <c r="E54" s="141">
        <v>100.45184944786249</v>
      </c>
      <c r="F54" s="141">
        <v>79.851550044147984</v>
      </c>
      <c r="G54" s="141">
        <v>64.08375398616279</v>
      </c>
      <c r="H54" s="141">
        <v>49.673550827017039</v>
      </c>
    </row>
    <row r="55" spans="1:8" x14ac:dyDescent="0.25">
      <c r="A55" s="153"/>
      <c r="B55" s="154"/>
      <c r="C55" s="155"/>
      <c r="D55" s="155"/>
      <c r="E55" s="155"/>
      <c r="F55" s="155"/>
      <c r="G55" s="155"/>
      <c r="H55" s="155"/>
    </row>
    <row r="56" spans="1:8" x14ac:dyDescent="0.25">
      <c r="A56" s="240" t="s">
        <v>73</v>
      </c>
      <c r="B56" s="131" t="s">
        <v>132</v>
      </c>
      <c r="C56" s="140">
        <v>870</v>
      </c>
      <c r="D56" s="140">
        <v>870</v>
      </c>
      <c r="E56" s="140">
        <v>868.27561729174977</v>
      </c>
      <c r="F56" s="140">
        <v>865.20773057749955</v>
      </c>
      <c r="G56" s="140">
        <v>863.68619980708092</v>
      </c>
      <c r="H56" s="140">
        <v>861.4272273844615</v>
      </c>
    </row>
    <row r="57" spans="1:8" x14ac:dyDescent="0.25">
      <c r="A57" s="241"/>
      <c r="B57" s="131" t="s">
        <v>70</v>
      </c>
      <c r="C57" s="140">
        <v>100</v>
      </c>
      <c r="D57" s="140">
        <v>100</v>
      </c>
      <c r="E57" s="140">
        <v>89.515500741331749</v>
      </c>
      <c r="F57" s="140">
        <v>75.220614873332053</v>
      </c>
      <c r="G57" s="140">
        <v>67.659732304431685</v>
      </c>
      <c r="H57" s="140">
        <v>57.199778324033936</v>
      </c>
    </row>
    <row r="58" spans="1:8" x14ac:dyDescent="0.25">
      <c r="A58" s="241"/>
      <c r="B58" s="131" t="s">
        <v>134</v>
      </c>
      <c r="C58" s="140">
        <v>225</v>
      </c>
      <c r="D58" s="140">
        <v>225</v>
      </c>
      <c r="E58" s="140">
        <v>201.4098766679964</v>
      </c>
      <c r="F58" s="140">
        <v>169.24638346499714</v>
      </c>
      <c r="G58" s="140">
        <v>152.23439768497127</v>
      </c>
      <c r="H58" s="140">
        <v>128.69950122907633</v>
      </c>
    </row>
    <row r="59" spans="1:8" x14ac:dyDescent="0.25">
      <c r="A59" s="241"/>
      <c r="B59" s="131" t="s">
        <v>133</v>
      </c>
      <c r="C59" s="140">
        <v>1.5</v>
      </c>
      <c r="D59" s="140">
        <v>1.5</v>
      </c>
      <c r="E59" s="140">
        <v>1.5</v>
      </c>
      <c r="F59" s="140">
        <v>1.5</v>
      </c>
      <c r="G59" s="140">
        <v>1.5</v>
      </c>
      <c r="H59" s="140">
        <v>1.5</v>
      </c>
    </row>
    <row r="60" spans="1:8" x14ac:dyDescent="0.25">
      <c r="A60" s="242"/>
      <c r="B60" s="131" t="s">
        <v>135</v>
      </c>
      <c r="C60" s="141">
        <v>126.66666666666667</v>
      </c>
      <c r="D60" s="141">
        <v>126.66666666666667</v>
      </c>
      <c r="E60" s="141">
        <v>110.9399177786643</v>
      </c>
      <c r="F60" s="141">
        <v>89.497588976664773</v>
      </c>
      <c r="G60" s="141">
        <v>78.156265123314199</v>
      </c>
      <c r="H60" s="141">
        <v>62.466334152717572</v>
      </c>
    </row>
  </sheetData>
  <mergeCells count="9">
    <mergeCell ref="A44:A48"/>
    <mergeCell ref="A50:A54"/>
    <mergeCell ref="A56:A60"/>
    <mergeCell ref="A38:A42"/>
    <mergeCell ref="A1:N1"/>
    <mergeCell ref="A3:A8"/>
    <mergeCell ref="A10:A16"/>
    <mergeCell ref="A18:A24"/>
    <mergeCell ref="A26:A3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29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12.7109375" defaultRowHeight="12.75" x14ac:dyDescent="0.25"/>
  <cols>
    <col min="1" max="1" width="12.7109375" style="105"/>
    <col min="2" max="13" width="12.7109375" style="203"/>
    <col min="14" max="16384" width="12.7109375" style="105"/>
  </cols>
  <sheetData>
    <row r="1" spans="1:14" s="179" customFormat="1" ht="15" customHeight="1" x14ac:dyDescent="0.25">
      <c r="A1" s="245" t="s">
        <v>114</v>
      </c>
      <c r="B1" s="244" t="s">
        <v>91</v>
      </c>
      <c r="C1" s="244"/>
      <c r="D1" s="244"/>
      <c r="E1" s="244" t="s">
        <v>71</v>
      </c>
      <c r="F1" s="244"/>
      <c r="G1" s="244"/>
      <c r="H1" s="244" t="s">
        <v>72</v>
      </c>
      <c r="I1" s="244"/>
      <c r="J1" s="244"/>
      <c r="K1" s="244" t="s">
        <v>73</v>
      </c>
      <c r="L1" s="244"/>
      <c r="M1" s="244"/>
    </row>
    <row r="2" spans="1:14" s="179" customFormat="1" x14ac:dyDescent="0.25">
      <c r="A2" s="245"/>
      <c r="B2" s="204" t="s">
        <v>139</v>
      </c>
      <c r="C2" s="204" t="s">
        <v>140</v>
      </c>
      <c r="D2" s="204" t="s">
        <v>141</v>
      </c>
      <c r="E2" s="204" t="s">
        <v>139</v>
      </c>
      <c r="F2" s="204" t="s">
        <v>140</v>
      </c>
      <c r="G2" s="204" t="s">
        <v>141</v>
      </c>
      <c r="H2" s="204" t="s">
        <v>139</v>
      </c>
      <c r="I2" s="204" t="s">
        <v>140</v>
      </c>
      <c r="J2" s="204" t="s">
        <v>141</v>
      </c>
      <c r="K2" s="204" t="s">
        <v>139</v>
      </c>
      <c r="L2" s="204" t="s">
        <v>140</v>
      </c>
      <c r="M2" s="204" t="s">
        <v>141</v>
      </c>
    </row>
    <row r="3" spans="1:14" s="179" customFormat="1" x14ac:dyDescent="0.25">
      <c r="A3" s="164">
        <v>43132</v>
      </c>
      <c r="B3" s="183">
        <v>100.6</v>
      </c>
      <c r="C3" s="183">
        <v>118.9</v>
      </c>
      <c r="D3" s="183"/>
      <c r="E3" s="183">
        <v>82.8</v>
      </c>
      <c r="F3" s="183">
        <v>311.39999999999998</v>
      </c>
      <c r="G3" s="183"/>
      <c r="H3" s="183">
        <v>128</v>
      </c>
      <c r="I3" s="183">
        <v>619</v>
      </c>
      <c r="J3" s="183"/>
      <c r="K3" s="183">
        <v>150</v>
      </c>
      <c r="L3" s="183">
        <v>870</v>
      </c>
      <c r="M3" s="183"/>
      <c r="N3" s="182"/>
    </row>
    <row r="4" spans="1:14" s="179" customFormat="1" x14ac:dyDescent="0.25">
      <c r="A4" s="180">
        <v>43101</v>
      </c>
      <c r="B4" s="184">
        <v>155.4</v>
      </c>
      <c r="C4" s="163">
        <v>119</v>
      </c>
      <c r="D4" s="184"/>
      <c r="E4" s="184">
        <v>168.4</v>
      </c>
      <c r="F4" s="184">
        <v>311.8</v>
      </c>
      <c r="G4" s="184"/>
      <c r="H4" s="184">
        <v>243.2</v>
      </c>
      <c r="I4" s="163">
        <v>619</v>
      </c>
      <c r="J4" s="184"/>
      <c r="K4" s="184">
        <v>237.8</v>
      </c>
      <c r="L4" s="163">
        <v>870</v>
      </c>
      <c r="M4" s="184"/>
      <c r="N4" s="181"/>
    </row>
    <row r="5" spans="1:14" s="104" customFormat="1" x14ac:dyDescent="0.25">
      <c r="A5" s="164">
        <v>43070</v>
      </c>
      <c r="B5" s="185">
        <v>401.2</v>
      </c>
      <c r="C5" s="163">
        <v>119</v>
      </c>
      <c r="D5" s="185"/>
      <c r="E5" s="185">
        <v>467.4</v>
      </c>
      <c r="F5" s="163">
        <v>312</v>
      </c>
      <c r="G5" s="185"/>
      <c r="H5" s="185">
        <v>536</v>
      </c>
      <c r="I5" s="163">
        <v>619</v>
      </c>
      <c r="J5" s="185"/>
      <c r="K5" s="185">
        <v>316.8</v>
      </c>
      <c r="L5" s="163">
        <v>870</v>
      </c>
      <c r="M5" s="186"/>
    </row>
    <row r="6" spans="1:14" s="104" customFormat="1" x14ac:dyDescent="0.25">
      <c r="A6" s="165">
        <v>43040</v>
      </c>
      <c r="B6" s="187">
        <v>148</v>
      </c>
      <c r="C6" s="163">
        <v>119.15</v>
      </c>
      <c r="D6" s="187"/>
      <c r="E6" s="187">
        <v>207.4</v>
      </c>
      <c r="F6" s="163">
        <v>311.7</v>
      </c>
      <c r="G6" s="187"/>
      <c r="H6" s="187">
        <v>233</v>
      </c>
      <c r="I6" s="163">
        <v>619.58000000000004</v>
      </c>
      <c r="J6" s="187"/>
      <c r="K6" s="187">
        <v>323.8</v>
      </c>
      <c r="L6" s="163">
        <v>870</v>
      </c>
      <c r="M6" s="186"/>
    </row>
    <row r="7" spans="1:14" s="104" customFormat="1" x14ac:dyDescent="0.25">
      <c r="A7" s="164">
        <v>43009</v>
      </c>
      <c r="B7" s="188">
        <v>541.20000000000005</v>
      </c>
      <c r="C7" s="163">
        <v>119.4</v>
      </c>
      <c r="D7" s="188"/>
      <c r="E7" s="188">
        <v>533.4</v>
      </c>
      <c r="F7" s="163">
        <v>311.8</v>
      </c>
      <c r="G7" s="188"/>
      <c r="H7" s="188">
        <v>738.5</v>
      </c>
      <c r="I7" s="163">
        <v>619.75</v>
      </c>
      <c r="J7" s="188"/>
      <c r="K7" s="188">
        <v>481.5</v>
      </c>
      <c r="L7" s="163">
        <v>870</v>
      </c>
      <c r="M7" s="186"/>
    </row>
    <row r="8" spans="1:14" s="104" customFormat="1" x14ac:dyDescent="0.25">
      <c r="A8" s="164">
        <v>42979</v>
      </c>
      <c r="B8" s="189">
        <v>226.6</v>
      </c>
      <c r="C8" s="163">
        <v>119.05</v>
      </c>
      <c r="D8" s="189"/>
      <c r="E8" s="189">
        <v>234.8</v>
      </c>
      <c r="F8" s="163">
        <v>310.2</v>
      </c>
      <c r="G8" s="189"/>
      <c r="H8" s="189">
        <v>278.5</v>
      </c>
      <c r="I8" s="163">
        <v>619.66999999999996</v>
      </c>
      <c r="J8" s="189"/>
      <c r="K8" s="189">
        <v>209.4</v>
      </c>
      <c r="L8" s="163">
        <v>870</v>
      </c>
      <c r="M8" s="186"/>
    </row>
    <row r="9" spans="1:14" s="104" customFormat="1" x14ac:dyDescent="0.25">
      <c r="A9" s="165">
        <v>42948</v>
      </c>
      <c r="B9" s="190">
        <v>278</v>
      </c>
      <c r="C9" s="163">
        <v>116.25</v>
      </c>
      <c r="D9" s="190"/>
      <c r="E9" s="190">
        <v>244.6</v>
      </c>
      <c r="F9" s="163">
        <v>307.60000000000002</v>
      </c>
      <c r="G9" s="190"/>
      <c r="H9" s="190">
        <v>385.2</v>
      </c>
      <c r="I9" s="163">
        <v>619.75</v>
      </c>
      <c r="J9" s="190"/>
      <c r="K9" s="190">
        <v>255.6</v>
      </c>
      <c r="L9" s="163">
        <v>865.3</v>
      </c>
      <c r="M9" s="186"/>
    </row>
    <row r="10" spans="1:14" s="104" customFormat="1" x14ac:dyDescent="0.25">
      <c r="A10" s="164">
        <v>42917</v>
      </c>
      <c r="B10" s="191">
        <v>214.4</v>
      </c>
      <c r="C10" s="163">
        <v>114.05</v>
      </c>
      <c r="D10" s="191"/>
      <c r="E10" s="191">
        <v>197.6</v>
      </c>
      <c r="F10" s="163">
        <v>302.7</v>
      </c>
      <c r="G10" s="191"/>
      <c r="H10" s="191">
        <v>402.8</v>
      </c>
      <c r="I10" s="163">
        <v>618.32000000000005</v>
      </c>
      <c r="J10" s="191"/>
      <c r="K10" s="191">
        <v>201.9</v>
      </c>
      <c r="L10" s="163">
        <v>860.6</v>
      </c>
      <c r="M10" s="186"/>
    </row>
    <row r="11" spans="1:14" s="104" customFormat="1" x14ac:dyDescent="0.25">
      <c r="A11" s="164">
        <v>42887</v>
      </c>
      <c r="B11" s="192">
        <v>489</v>
      </c>
      <c r="C11" s="163">
        <v>111.2</v>
      </c>
      <c r="D11" s="192"/>
      <c r="E11" s="192">
        <v>478.4</v>
      </c>
      <c r="F11" s="163">
        <v>303.39999999999998</v>
      </c>
      <c r="G11" s="192"/>
      <c r="H11" s="192">
        <v>596.79999999999995</v>
      </c>
      <c r="I11" s="163">
        <v>614.83000000000004</v>
      </c>
      <c r="J11" s="192"/>
      <c r="K11" s="192">
        <v>198.9</v>
      </c>
      <c r="L11" s="163">
        <v>860.82</v>
      </c>
      <c r="M11" s="186"/>
    </row>
    <row r="12" spans="1:14" s="104" customFormat="1" x14ac:dyDescent="0.25">
      <c r="A12" s="165">
        <v>42856</v>
      </c>
      <c r="B12" s="193">
        <v>148.6</v>
      </c>
      <c r="C12" s="163">
        <v>107.55</v>
      </c>
      <c r="D12" s="193"/>
      <c r="E12" s="193">
        <v>127</v>
      </c>
      <c r="F12" s="163">
        <v>298.10000000000002</v>
      </c>
      <c r="G12" s="193"/>
      <c r="H12" s="193">
        <v>135.4</v>
      </c>
      <c r="I12" s="163">
        <v>601.98</v>
      </c>
      <c r="J12" s="193"/>
      <c r="K12" s="193">
        <v>57.9</v>
      </c>
      <c r="L12" s="163">
        <v>862.4</v>
      </c>
      <c r="M12" s="186"/>
    </row>
    <row r="13" spans="1:14" s="104" customFormat="1" x14ac:dyDescent="0.25">
      <c r="A13" s="164">
        <v>42826</v>
      </c>
      <c r="B13" s="194">
        <v>29.8</v>
      </c>
      <c r="C13" s="163">
        <v>111.5</v>
      </c>
      <c r="D13" s="194"/>
      <c r="E13" s="194">
        <v>11</v>
      </c>
      <c r="F13" s="163">
        <v>302.89999999999998</v>
      </c>
      <c r="G13" s="194"/>
      <c r="H13" s="194">
        <v>14.6</v>
      </c>
      <c r="I13" s="163">
        <v>607.75</v>
      </c>
      <c r="J13" s="194"/>
      <c r="K13" s="194">
        <v>23.4</v>
      </c>
      <c r="L13" s="163">
        <v>866</v>
      </c>
      <c r="M13" s="186"/>
    </row>
    <row r="14" spans="1:14" s="104" customFormat="1" x14ac:dyDescent="0.25">
      <c r="A14" s="164">
        <v>42795</v>
      </c>
      <c r="B14" s="195">
        <v>70.400000000000006</v>
      </c>
      <c r="C14" s="163">
        <v>115.2</v>
      </c>
      <c r="D14" s="195"/>
      <c r="E14" s="195">
        <v>74.599999999999994</v>
      </c>
      <c r="F14" s="163">
        <v>307.5</v>
      </c>
      <c r="G14" s="195"/>
      <c r="H14" s="195">
        <v>102.3</v>
      </c>
      <c r="I14" s="196">
        <v>612.79</v>
      </c>
      <c r="J14" s="195"/>
      <c r="K14" s="195">
        <v>155.69999999999999</v>
      </c>
      <c r="L14" s="196">
        <v>868.4</v>
      </c>
      <c r="M14" s="186"/>
    </row>
    <row r="15" spans="1:14" s="104" customFormat="1" x14ac:dyDescent="0.25">
      <c r="A15" s="165">
        <v>42767</v>
      </c>
      <c r="B15" s="195">
        <v>66.400000000000006</v>
      </c>
      <c r="C15" s="163">
        <v>116.85</v>
      </c>
      <c r="D15" s="195"/>
      <c r="E15" s="195">
        <v>48.8</v>
      </c>
      <c r="F15" s="163">
        <v>311.10000000000002</v>
      </c>
      <c r="G15" s="195"/>
      <c r="H15" s="195">
        <v>86.1</v>
      </c>
      <c r="I15" s="163">
        <v>615.94000000000005</v>
      </c>
      <c r="J15" s="195"/>
      <c r="K15" s="195">
        <v>71.400000000000006</v>
      </c>
      <c r="L15" s="163">
        <v>868.4</v>
      </c>
      <c r="M15" s="186"/>
    </row>
    <row r="16" spans="1:14" s="104" customFormat="1" x14ac:dyDescent="0.25">
      <c r="A16" s="164">
        <v>42736</v>
      </c>
      <c r="B16" s="197">
        <v>71.400000000000006</v>
      </c>
      <c r="C16" s="163">
        <v>118.5</v>
      </c>
      <c r="D16" s="197"/>
      <c r="E16" s="197">
        <v>149.30000000000001</v>
      </c>
      <c r="F16" s="163">
        <v>311.8</v>
      </c>
      <c r="G16" s="197"/>
      <c r="H16" s="197">
        <v>159.69999999999999</v>
      </c>
      <c r="I16" s="163">
        <v>618.88</v>
      </c>
      <c r="J16" s="197"/>
      <c r="K16" s="197">
        <v>139.19999999999999</v>
      </c>
      <c r="L16" s="163">
        <v>869.7</v>
      </c>
      <c r="M16" s="186"/>
    </row>
    <row r="17" spans="1:13" s="104" customFormat="1" x14ac:dyDescent="0.25">
      <c r="A17" s="164">
        <v>42705</v>
      </c>
      <c r="B17" s="198">
        <v>312.60000000000002</v>
      </c>
      <c r="C17" s="163">
        <v>117.85</v>
      </c>
      <c r="D17" s="198"/>
      <c r="E17" s="198">
        <v>250</v>
      </c>
      <c r="F17" s="163">
        <v>312</v>
      </c>
      <c r="G17" s="198"/>
      <c r="H17" s="198">
        <v>331.1</v>
      </c>
      <c r="I17" s="163">
        <v>619</v>
      </c>
      <c r="J17" s="198"/>
      <c r="K17" s="198">
        <v>324.10000000000002</v>
      </c>
      <c r="L17" s="163">
        <v>870</v>
      </c>
      <c r="M17" s="186"/>
    </row>
    <row r="18" spans="1:13" s="104" customFormat="1" x14ac:dyDescent="0.25">
      <c r="A18" s="165">
        <v>42675</v>
      </c>
      <c r="B18" s="199">
        <v>375.2</v>
      </c>
      <c r="C18" s="163">
        <v>114.3</v>
      </c>
      <c r="D18" s="199"/>
      <c r="E18" s="199">
        <v>270.39999999999998</v>
      </c>
      <c r="F18" s="163">
        <v>312</v>
      </c>
      <c r="G18" s="199"/>
      <c r="H18" s="199">
        <v>596.79999999999995</v>
      </c>
      <c r="I18" s="163">
        <v>619</v>
      </c>
      <c r="J18" s="199"/>
      <c r="K18" s="199">
        <v>368.5</v>
      </c>
      <c r="L18" s="163">
        <v>870</v>
      </c>
      <c r="M18" s="186"/>
    </row>
    <row r="19" spans="1:13" x14ac:dyDescent="0.25">
      <c r="A19" s="164">
        <v>42644</v>
      </c>
      <c r="B19" s="200">
        <v>89.2</v>
      </c>
      <c r="C19" s="163">
        <v>111</v>
      </c>
      <c r="D19" s="200"/>
      <c r="E19" s="200">
        <v>99.8</v>
      </c>
      <c r="F19" s="163">
        <v>311.8</v>
      </c>
      <c r="G19" s="200"/>
      <c r="H19" s="200">
        <v>205</v>
      </c>
      <c r="I19" s="163">
        <v>612.25</v>
      </c>
      <c r="J19" s="200"/>
      <c r="K19" s="200">
        <v>131.80000000000001</v>
      </c>
      <c r="L19" s="163">
        <v>860.7</v>
      </c>
      <c r="M19" s="200"/>
    </row>
    <row r="20" spans="1:13" s="104" customFormat="1" x14ac:dyDescent="0.25">
      <c r="A20" s="164">
        <v>42614</v>
      </c>
      <c r="B20" s="200">
        <v>218</v>
      </c>
      <c r="C20" s="163">
        <v>111.2</v>
      </c>
      <c r="D20" s="200"/>
      <c r="E20" s="200">
        <v>287.8</v>
      </c>
      <c r="F20" s="163">
        <v>312.60000000000002</v>
      </c>
      <c r="G20" s="200"/>
      <c r="H20" s="200">
        <v>303.8</v>
      </c>
      <c r="I20" s="163">
        <v>612.16999999999996</v>
      </c>
      <c r="J20" s="200"/>
      <c r="K20" s="200">
        <v>133.6</v>
      </c>
      <c r="L20" s="163">
        <v>861.3</v>
      </c>
      <c r="M20" s="186"/>
    </row>
    <row r="21" spans="1:13" s="104" customFormat="1" x14ac:dyDescent="0.25">
      <c r="A21" s="164">
        <v>42583</v>
      </c>
      <c r="B21" s="200">
        <v>192.6</v>
      </c>
      <c r="C21" s="163">
        <v>109.45</v>
      </c>
      <c r="D21" s="200"/>
      <c r="E21" s="200">
        <v>204.8</v>
      </c>
      <c r="F21" s="163">
        <v>309.10000000000002</v>
      </c>
      <c r="G21" s="200"/>
      <c r="H21" s="200">
        <v>208</v>
      </c>
      <c r="I21" s="163">
        <v>610.83000000000004</v>
      </c>
      <c r="J21" s="200"/>
      <c r="K21" s="200">
        <v>124.7</v>
      </c>
      <c r="L21" s="163">
        <v>861.7</v>
      </c>
      <c r="M21" s="186"/>
    </row>
    <row r="22" spans="1:13" s="104" customFormat="1" x14ac:dyDescent="0.25">
      <c r="A22" s="164">
        <v>42552</v>
      </c>
      <c r="B22" s="200">
        <v>334.7</v>
      </c>
      <c r="C22" s="163">
        <v>106.95</v>
      </c>
      <c r="D22" s="200"/>
      <c r="E22" s="200">
        <v>284.39999999999998</v>
      </c>
      <c r="F22" s="163">
        <v>306.5</v>
      </c>
      <c r="G22" s="200"/>
      <c r="H22" s="200">
        <v>279</v>
      </c>
      <c r="I22" s="163">
        <v>611.75</v>
      </c>
      <c r="J22" s="200"/>
      <c r="K22" s="200">
        <v>94</v>
      </c>
      <c r="L22" s="163">
        <v>863.3</v>
      </c>
      <c r="M22" s="186"/>
    </row>
    <row r="23" spans="1:13" x14ac:dyDescent="0.25">
      <c r="A23" s="164">
        <v>42522</v>
      </c>
      <c r="B23" s="200">
        <v>294.2</v>
      </c>
      <c r="C23" s="163">
        <v>103.25</v>
      </c>
      <c r="D23" s="200"/>
      <c r="E23" s="200">
        <v>313.39999999999998</v>
      </c>
      <c r="F23" s="163">
        <v>300.3</v>
      </c>
      <c r="G23" s="200"/>
      <c r="H23" s="200">
        <v>308.39999999999998</v>
      </c>
      <c r="I23" s="163">
        <v>608.20000000000005</v>
      </c>
      <c r="J23" s="200"/>
      <c r="K23" s="200">
        <v>218.7</v>
      </c>
      <c r="L23" s="163">
        <v>864.4</v>
      </c>
      <c r="M23" s="200"/>
    </row>
    <row r="24" spans="1:13" x14ac:dyDescent="0.25">
      <c r="A24" s="164">
        <v>42491</v>
      </c>
      <c r="B24" s="200">
        <v>146.6</v>
      </c>
      <c r="C24" s="163">
        <v>98.9</v>
      </c>
      <c r="D24" s="200"/>
      <c r="E24" s="200">
        <v>259.39999999999998</v>
      </c>
      <c r="F24" s="163">
        <v>294.89999999999998</v>
      </c>
      <c r="G24" s="200"/>
      <c r="H24" s="200">
        <v>280.39999999999998</v>
      </c>
      <c r="I24" s="163">
        <v>606.48</v>
      </c>
      <c r="J24" s="200"/>
      <c r="K24" s="200">
        <v>177.5</v>
      </c>
      <c r="L24" s="163">
        <v>862</v>
      </c>
      <c r="M24" s="200"/>
    </row>
    <row r="25" spans="1:13" x14ac:dyDescent="0.25">
      <c r="A25" s="164">
        <v>42461</v>
      </c>
      <c r="B25" s="200">
        <v>61.6</v>
      </c>
      <c r="C25" s="163">
        <v>100.7</v>
      </c>
      <c r="D25" s="200"/>
      <c r="E25" s="200">
        <v>69.8</v>
      </c>
      <c r="F25" s="163">
        <v>298.8</v>
      </c>
      <c r="G25" s="200"/>
      <c r="H25" s="200">
        <v>111.8</v>
      </c>
      <c r="I25" s="163">
        <v>608.38</v>
      </c>
      <c r="J25" s="200"/>
      <c r="K25" s="200">
        <v>61.7</v>
      </c>
      <c r="L25" s="163">
        <v>862.4</v>
      </c>
      <c r="M25" s="200"/>
    </row>
    <row r="26" spans="1:13" x14ac:dyDescent="0.25">
      <c r="A26" s="164">
        <v>42430</v>
      </c>
      <c r="B26" s="200">
        <v>11.6</v>
      </c>
      <c r="C26" s="163">
        <v>105.8</v>
      </c>
      <c r="D26" s="200"/>
      <c r="E26" s="200">
        <v>24.8</v>
      </c>
      <c r="F26" s="163">
        <v>303.5</v>
      </c>
      <c r="G26" s="200"/>
      <c r="H26" s="200">
        <v>31.2</v>
      </c>
      <c r="I26" s="196">
        <v>612.23</v>
      </c>
      <c r="J26" s="200"/>
      <c r="K26" s="200">
        <v>46.7</v>
      </c>
      <c r="L26" s="196">
        <v>864</v>
      </c>
      <c r="M26" s="200"/>
    </row>
    <row r="27" spans="1:13" x14ac:dyDescent="0.25">
      <c r="A27" s="164">
        <v>42401</v>
      </c>
      <c r="B27" s="200">
        <v>35.4</v>
      </c>
      <c r="C27" s="163">
        <v>110.4</v>
      </c>
      <c r="D27" s="200"/>
      <c r="E27" s="200">
        <v>53.6</v>
      </c>
      <c r="F27" s="163">
        <v>308.10000000000002</v>
      </c>
      <c r="G27" s="200"/>
      <c r="H27" s="200">
        <v>63</v>
      </c>
      <c r="I27" s="163">
        <v>615.73</v>
      </c>
      <c r="J27" s="200"/>
      <c r="K27" s="200">
        <v>36.6</v>
      </c>
      <c r="L27" s="163">
        <v>864.9</v>
      </c>
      <c r="M27" s="200"/>
    </row>
    <row r="28" spans="1:13" x14ac:dyDescent="0.25">
      <c r="A28" s="164">
        <v>42370</v>
      </c>
      <c r="B28" s="200">
        <v>52.8</v>
      </c>
      <c r="C28" s="163">
        <v>112.6</v>
      </c>
      <c r="D28" s="200"/>
      <c r="E28" s="200">
        <v>35.299999999999997</v>
      </c>
      <c r="F28" s="163">
        <v>311.7</v>
      </c>
      <c r="G28" s="200"/>
      <c r="H28" s="200">
        <v>102</v>
      </c>
      <c r="I28" s="163">
        <v>617.58000000000004</v>
      </c>
      <c r="J28" s="200"/>
      <c r="K28" s="200">
        <v>84.3</v>
      </c>
      <c r="L28" s="163">
        <v>865.9</v>
      </c>
      <c r="M28" s="200"/>
    </row>
    <row r="29" spans="1:13" x14ac:dyDescent="0.25">
      <c r="A29" s="164">
        <v>42339</v>
      </c>
      <c r="B29" s="200">
        <v>229.6</v>
      </c>
      <c r="C29" s="163">
        <v>113.2</v>
      </c>
      <c r="D29" s="200"/>
      <c r="E29" s="200">
        <v>327.60000000000002</v>
      </c>
      <c r="F29" s="163">
        <v>312.39999999999998</v>
      </c>
      <c r="G29" s="200"/>
      <c r="H29" s="200">
        <v>329.4</v>
      </c>
      <c r="I29" s="163">
        <v>617.13</v>
      </c>
      <c r="J29" s="200"/>
      <c r="K29" s="200">
        <v>206.2</v>
      </c>
      <c r="L29" s="163">
        <v>866.3</v>
      </c>
      <c r="M29" s="200"/>
    </row>
    <row r="30" spans="1:13" x14ac:dyDescent="0.25">
      <c r="A30" s="164">
        <v>42309</v>
      </c>
      <c r="B30" s="200">
        <v>262.3</v>
      </c>
      <c r="C30" s="163">
        <v>109.8</v>
      </c>
      <c r="D30" s="200"/>
      <c r="E30" s="200">
        <v>318.39999999999998</v>
      </c>
      <c r="F30" s="163">
        <v>306</v>
      </c>
      <c r="G30" s="200"/>
      <c r="H30" s="200">
        <v>414.2</v>
      </c>
      <c r="I30" s="163">
        <v>611.41999999999996</v>
      </c>
      <c r="J30" s="200"/>
      <c r="K30" s="200">
        <v>349.4</v>
      </c>
      <c r="L30" s="163">
        <v>865.3</v>
      </c>
      <c r="M30" s="200"/>
    </row>
    <row r="31" spans="1:13" x14ac:dyDescent="0.25">
      <c r="A31" s="164">
        <v>42278</v>
      </c>
      <c r="B31" s="200">
        <v>232.6</v>
      </c>
      <c r="C31" s="163">
        <v>104.9</v>
      </c>
      <c r="D31" s="200"/>
      <c r="E31" s="200">
        <v>210.6</v>
      </c>
      <c r="F31" s="163">
        <v>296.89999999999998</v>
      </c>
      <c r="G31" s="200"/>
      <c r="H31" s="200">
        <v>278.8</v>
      </c>
      <c r="I31" s="163">
        <v>601.98</v>
      </c>
      <c r="J31" s="200"/>
      <c r="K31" s="200">
        <v>255</v>
      </c>
      <c r="L31" s="163">
        <v>856.7</v>
      </c>
      <c r="M31" s="200"/>
    </row>
    <row r="32" spans="1:13" x14ac:dyDescent="0.25">
      <c r="A32" s="164">
        <v>42248</v>
      </c>
      <c r="B32" s="200">
        <v>121.6</v>
      </c>
      <c r="C32" s="163">
        <v>103.4</v>
      </c>
      <c r="D32" s="200"/>
      <c r="E32" s="200">
        <v>183.2</v>
      </c>
      <c r="F32" s="163">
        <v>299.39999999999998</v>
      </c>
      <c r="G32" s="200"/>
      <c r="H32" s="200">
        <v>270</v>
      </c>
      <c r="I32" s="163">
        <v>601.08000000000004</v>
      </c>
      <c r="J32" s="200"/>
      <c r="K32" s="200">
        <v>186.4</v>
      </c>
      <c r="L32" s="163">
        <v>849.8</v>
      </c>
      <c r="M32" s="200"/>
    </row>
    <row r="33" spans="1:13" x14ac:dyDescent="0.2">
      <c r="A33" s="164">
        <v>42217</v>
      </c>
      <c r="B33" s="200">
        <v>178.9</v>
      </c>
      <c r="C33" s="196">
        <v>104.25</v>
      </c>
      <c r="D33" s="200"/>
      <c r="E33" s="200">
        <v>174.3</v>
      </c>
      <c r="F33" s="201">
        <v>300.3</v>
      </c>
      <c r="G33" s="200"/>
      <c r="H33" s="200">
        <v>301</v>
      </c>
      <c r="I33" s="202">
        <v>598.71</v>
      </c>
      <c r="J33" s="200"/>
      <c r="K33" s="200">
        <v>100.5</v>
      </c>
      <c r="L33" s="201">
        <v>845.3</v>
      </c>
      <c r="M33" s="200"/>
    </row>
    <row r="34" spans="1:13" x14ac:dyDescent="0.25">
      <c r="A34" s="164">
        <v>42186</v>
      </c>
      <c r="B34" s="200">
        <v>293.7</v>
      </c>
      <c r="C34" s="196">
        <v>104.2</v>
      </c>
      <c r="D34" s="200"/>
      <c r="E34" s="200">
        <v>242.2</v>
      </c>
      <c r="F34" s="196">
        <v>300.89999999999998</v>
      </c>
      <c r="G34" s="200"/>
      <c r="H34" s="200">
        <v>278</v>
      </c>
      <c r="I34" s="196">
        <v>599.25</v>
      </c>
      <c r="J34" s="200"/>
      <c r="K34" s="200">
        <v>110</v>
      </c>
      <c r="L34" s="201">
        <v>848.9</v>
      </c>
      <c r="M34" s="200"/>
    </row>
    <row r="35" spans="1:13" x14ac:dyDescent="0.2">
      <c r="A35" s="164">
        <v>42156</v>
      </c>
      <c r="B35" s="200">
        <v>261.39999999999998</v>
      </c>
      <c r="C35" s="196">
        <v>101.5</v>
      </c>
      <c r="D35" s="200"/>
      <c r="E35" s="200">
        <v>304</v>
      </c>
      <c r="F35" s="201">
        <v>295.89999999999998</v>
      </c>
      <c r="G35" s="200"/>
      <c r="H35" s="200">
        <v>283.2</v>
      </c>
      <c r="I35" s="202">
        <v>598.5</v>
      </c>
      <c r="J35" s="200"/>
      <c r="K35" s="200">
        <v>179.3</v>
      </c>
      <c r="L35" s="201">
        <v>853.4</v>
      </c>
      <c r="M35" s="200"/>
    </row>
    <row r="36" spans="1:13" x14ac:dyDescent="0.25">
      <c r="A36" s="164">
        <v>42125</v>
      </c>
      <c r="B36" s="200">
        <v>31.8</v>
      </c>
      <c r="C36" s="196">
        <v>105.1</v>
      </c>
      <c r="D36" s="200"/>
      <c r="E36" s="200">
        <v>42.4</v>
      </c>
      <c r="F36" s="196">
        <v>296.39999999999998</v>
      </c>
      <c r="G36" s="200"/>
      <c r="H36" s="200">
        <v>25.4</v>
      </c>
      <c r="I36" s="201">
        <v>602.75</v>
      </c>
      <c r="J36" s="200"/>
      <c r="K36" s="200">
        <v>13.2</v>
      </c>
      <c r="L36" s="201">
        <v>858.1</v>
      </c>
      <c r="M36" s="200"/>
    </row>
    <row r="37" spans="1:13" x14ac:dyDescent="0.25">
      <c r="A37" s="164">
        <v>42095</v>
      </c>
      <c r="B37" s="200">
        <v>55.6</v>
      </c>
      <c r="C37" s="196">
        <v>111</v>
      </c>
      <c r="D37" s="200"/>
      <c r="E37" s="200">
        <v>42.8</v>
      </c>
      <c r="F37" s="196">
        <v>301.89999999999998</v>
      </c>
      <c r="G37" s="200"/>
      <c r="H37" s="200">
        <v>92.2</v>
      </c>
      <c r="I37" s="196">
        <v>608.16999999999996</v>
      </c>
      <c r="J37" s="200"/>
      <c r="K37" s="200">
        <v>28.7</v>
      </c>
      <c r="L37" s="201">
        <v>862.4</v>
      </c>
      <c r="M37" s="200"/>
    </row>
    <row r="38" spans="1:13" x14ac:dyDescent="0.2">
      <c r="A38" s="164">
        <v>42064</v>
      </c>
      <c r="B38" s="200">
        <v>70.599999999999994</v>
      </c>
      <c r="C38" s="196">
        <v>115.34</v>
      </c>
      <c r="D38" s="200"/>
      <c r="E38" s="200">
        <v>34.5</v>
      </c>
      <c r="F38" s="201">
        <v>306.39999999999998</v>
      </c>
      <c r="G38" s="200"/>
      <c r="H38" s="200">
        <v>96.4</v>
      </c>
      <c r="I38" s="202">
        <v>612.63</v>
      </c>
      <c r="J38" s="200"/>
      <c r="K38" s="200">
        <v>72.400000000000006</v>
      </c>
      <c r="L38" s="201">
        <v>865.7</v>
      </c>
      <c r="M38" s="200"/>
    </row>
    <row r="39" spans="1:13" x14ac:dyDescent="0.25">
      <c r="A39" s="164">
        <v>42036</v>
      </c>
      <c r="B39" s="200">
        <v>86</v>
      </c>
      <c r="C39" s="196">
        <v>118.2</v>
      </c>
      <c r="D39" s="200"/>
      <c r="E39" s="200">
        <v>50.9</v>
      </c>
      <c r="F39" s="196">
        <v>309.39999999999998</v>
      </c>
      <c r="G39" s="200"/>
      <c r="H39" s="200">
        <v>78.099999999999994</v>
      </c>
      <c r="I39" s="196">
        <v>616.02</v>
      </c>
      <c r="J39" s="200"/>
      <c r="K39" s="200">
        <v>52.4</v>
      </c>
      <c r="L39" s="201">
        <v>868.1</v>
      </c>
      <c r="M39" s="200"/>
    </row>
    <row r="40" spans="1:13" x14ac:dyDescent="0.25">
      <c r="A40" s="164">
        <v>42005</v>
      </c>
      <c r="B40" s="200">
        <v>141.5</v>
      </c>
      <c r="C40" s="163">
        <v>119</v>
      </c>
      <c r="D40" s="200"/>
      <c r="E40" s="200">
        <v>108.6</v>
      </c>
      <c r="F40" s="196">
        <v>312</v>
      </c>
      <c r="G40" s="200"/>
      <c r="H40" s="200">
        <v>277.7</v>
      </c>
      <c r="I40" s="196">
        <v>618.83000000000004</v>
      </c>
      <c r="J40" s="200"/>
      <c r="K40" s="200">
        <v>250.9</v>
      </c>
      <c r="L40" s="201">
        <v>869.9</v>
      </c>
      <c r="M40" s="200"/>
    </row>
    <row r="41" spans="1:13" x14ac:dyDescent="0.25">
      <c r="A41" s="164">
        <v>41974</v>
      </c>
      <c r="B41" s="200">
        <v>146.4</v>
      </c>
      <c r="C41" s="200"/>
      <c r="D41" s="200"/>
      <c r="E41" s="200">
        <v>99.1</v>
      </c>
      <c r="F41" s="200"/>
      <c r="G41" s="200"/>
      <c r="H41" s="200">
        <v>237.1</v>
      </c>
      <c r="I41" s="200"/>
      <c r="J41" s="200"/>
      <c r="K41" s="200">
        <v>183</v>
      </c>
      <c r="L41" s="200"/>
      <c r="M41" s="200"/>
    </row>
    <row r="42" spans="1:13" x14ac:dyDescent="0.25">
      <c r="A42" s="164">
        <v>41944</v>
      </c>
      <c r="B42" s="200">
        <v>573.29999999999995</v>
      </c>
      <c r="C42" s="200"/>
      <c r="D42" s="200"/>
      <c r="E42" s="200">
        <v>319.60000000000002</v>
      </c>
      <c r="F42" s="200"/>
      <c r="G42" s="200"/>
      <c r="H42" s="200">
        <v>832.1</v>
      </c>
      <c r="I42" s="200"/>
      <c r="J42" s="200"/>
      <c r="K42" s="200">
        <v>389.3</v>
      </c>
      <c r="L42" s="200"/>
      <c r="M42" s="200"/>
    </row>
    <row r="43" spans="1:13" x14ac:dyDescent="0.25">
      <c r="A43" s="164">
        <v>41913</v>
      </c>
      <c r="B43" s="200">
        <v>226</v>
      </c>
      <c r="C43" s="200"/>
      <c r="D43" s="200"/>
      <c r="E43" s="200">
        <v>149.80000000000001</v>
      </c>
      <c r="F43" s="200"/>
      <c r="G43" s="200"/>
      <c r="H43" s="200">
        <v>455.8</v>
      </c>
      <c r="I43" s="200"/>
      <c r="J43" s="200"/>
      <c r="K43" s="200">
        <v>433.3</v>
      </c>
      <c r="L43" s="200"/>
      <c r="M43" s="200"/>
    </row>
    <row r="44" spans="1:13" x14ac:dyDescent="0.25">
      <c r="A44" s="164">
        <v>41883</v>
      </c>
      <c r="B44" s="200">
        <v>215</v>
      </c>
      <c r="C44" s="200"/>
      <c r="D44" s="200"/>
      <c r="E44" s="200">
        <v>136.4</v>
      </c>
      <c r="F44" s="200"/>
      <c r="G44" s="200"/>
      <c r="H44" s="200">
        <v>319</v>
      </c>
      <c r="I44" s="200"/>
      <c r="J44" s="200"/>
      <c r="K44" s="200">
        <v>263</v>
      </c>
      <c r="L44" s="200"/>
      <c r="M44" s="200"/>
    </row>
    <row r="45" spans="1:13" x14ac:dyDescent="0.25">
      <c r="A45" s="164">
        <v>41852</v>
      </c>
      <c r="B45" s="200">
        <v>206.7</v>
      </c>
      <c r="C45" s="200"/>
      <c r="D45" s="200"/>
      <c r="E45" s="200">
        <v>157.79999999999998</v>
      </c>
      <c r="F45" s="200"/>
      <c r="G45" s="200"/>
      <c r="H45" s="200">
        <v>489.69999999999993</v>
      </c>
      <c r="I45" s="200"/>
      <c r="J45" s="200"/>
      <c r="K45" s="200">
        <v>202.7</v>
      </c>
      <c r="L45" s="200"/>
      <c r="M45" s="200"/>
    </row>
    <row r="46" spans="1:13" x14ac:dyDescent="0.25">
      <c r="A46" s="164">
        <v>41821</v>
      </c>
      <c r="B46" s="200">
        <v>265</v>
      </c>
      <c r="C46" s="200"/>
      <c r="D46" s="200"/>
      <c r="E46" s="200">
        <v>189.5</v>
      </c>
      <c r="F46" s="200"/>
      <c r="G46" s="200"/>
      <c r="H46" s="200">
        <v>277.20000000000005</v>
      </c>
      <c r="I46" s="200"/>
      <c r="J46" s="200"/>
      <c r="K46" s="200">
        <v>297.10000000000002</v>
      </c>
      <c r="L46" s="200"/>
      <c r="M46" s="200"/>
    </row>
    <row r="47" spans="1:13" x14ac:dyDescent="0.25">
      <c r="A47" s="164">
        <v>41791</v>
      </c>
      <c r="B47" s="200">
        <v>171.4</v>
      </c>
      <c r="C47" s="200"/>
      <c r="D47" s="200"/>
      <c r="E47" s="200">
        <v>146.20000000000002</v>
      </c>
      <c r="F47" s="200"/>
      <c r="G47" s="200"/>
      <c r="H47" s="200">
        <v>243.79999999999995</v>
      </c>
      <c r="I47" s="200"/>
      <c r="J47" s="200"/>
      <c r="K47" s="200">
        <v>100.2</v>
      </c>
      <c r="L47" s="200"/>
      <c r="M47" s="200"/>
    </row>
    <row r="48" spans="1:13" x14ac:dyDescent="0.25">
      <c r="A48" s="164">
        <v>41760</v>
      </c>
      <c r="B48" s="200">
        <v>31.2</v>
      </c>
      <c r="C48" s="200"/>
      <c r="D48" s="200"/>
      <c r="E48" s="200">
        <v>67.5</v>
      </c>
      <c r="F48" s="200"/>
      <c r="G48" s="200"/>
      <c r="H48" s="200">
        <v>60.300000000000004</v>
      </c>
      <c r="I48" s="200"/>
      <c r="J48" s="200"/>
      <c r="K48" s="200">
        <v>70</v>
      </c>
      <c r="L48" s="200"/>
      <c r="M48" s="200"/>
    </row>
    <row r="49" spans="1:13" x14ac:dyDescent="0.25">
      <c r="A49" s="164">
        <v>41730</v>
      </c>
      <c r="B49" s="200">
        <v>70.400000000000006</v>
      </c>
      <c r="C49" s="200"/>
      <c r="D49" s="200"/>
      <c r="E49" s="200">
        <v>45.3</v>
      </c>
      <c r="F49" s="200"/>
      <c r="G49" s="200"/>
      <c r="H49" s="200">
        <v>167.10000000000002</v>
      </c>
      <c r="I49" s="200"/>
      <c r="J49" s="200"/>
      <c r="K49" s="200">
        <v>31.57</v>
      </c>
      <c r="L49" s="200"/>
      <c r="M49" s="200"/>
    </row>
    <row r="50" spans="1:13" x14ac:dyDescent="0.25">
      <c r="A50" s="164">
        <v>41699</v>
      </c>
      <c r="B50" s="200">
        <v>32.5</v>
      </c>
      <c r="C50" s="200"/>
      <c r="D50" s="200"/>
      <c r="E50" s="200">
        <v>30.3</v>
      </c>
      <c r="F50" s="200"/>
      <c r="G50" s="200"/>
      <c r="H50" s="200">
        <v>20.3</v>
      </c>
      <c r="I50" s="200"/>
      <c r="J50" s="200"/>
      <c r="K50" s="200">
        <v>31.999999999999996</v>
      </c>
      <c r="L50" s="200"/>
      <c r="M50" s="200"/>
    </row>
    <row r="51" spans="1:13" x14ac:dyDescent="0.25">
      <c r="A51" s="164">
        <v>41671</v>
      </c>
      <c r="B51" s="200">
        <v>104.6</v>
      </c>
      <c r="C51" s="200"/>
      <c r="D51" s="200"/>
      <c r="E51" s="200">
        <v>30.099999999999998</v>
      </c>
      <c r="F51" s="200"/>
      <c r="G51" s="200"/>
      <c r="H51" s="200">
        <v>105.59999999999998</v>
      </c>
      <c r="I51" s="200"/>
      <c r="J51" s="200"/>
      <c r="K51" s="200">
        <v>78.599999999999994</v>
      </c>
      <c r="L51" s="200"/>
      <c r="M51" s="200"/>
    </row>
    <row r="52" spans="1:13" x14ac:dyDescent="0.25">
      <c r="A52" s="164">
        <v>41640</v>
      </c>
      <c r="B52" s="200">
        <v>169.99999999999997</v>
      </c>
      <c r="C52" s="200"/>
      <c r="D52" s="200"/>
      <c r="E52" s="200">
        <v>77.600000000000009</v>
      </c>
      <c r="F52" s="200"/>
      <c r="G52" s="200"/>
      <c r="H52" s="200">
        <v>162.90000000000003</v>
      </c>
      <c r="I52" s="200"/>
      <c r="J52" s="200"/>
      <c r="K52" s="200">
        <v>107.44999999999999</v>
      </c>
      <c r="L52" s="200"/>
      <c r="M52" s="200"/>
    </row>
    <row r="53" spans="1:13" x14ac:dyDescent="0.25">
      <c r="A53" s="164">
        <v>41609</v>
      </c>
      <c r="B53" s="200">
        <v>282.89999999999998</v>
      </c>
      <c r="C53" s="200"/>
      <c r="D53" s="200"/>
      <c r="E53" s="200">
        <v>207.1</v>
      </c>
      <c r="F53" s="200"/>
      <c r="G53" s="200"/>
      <c r="H53" s="200">
        <v>265.5</v>
      </c>
      <c r="I53" s="200"/>
      <c r="J53" s="200"/>
      <c r="K53" s="200">
        <v>129.4</v>
      </c>
      <c r="L53" s="200"/>
      <c r="M53" s="200"/>
    </row>
    <row r="54" spans="1:13" x14ac:dyDescent="0.25">
      <c r="A54" s="164">
        <v>41579</v>
      </c>
      <c r="B54" s="200">
        <v>561.6</v>
      </c>
      <c r="C54" s="200"/>
      <c r="D54" s="200"/>
      <c r="E54" s="200">
        <v>357</v>
      </c>
      <c r="F54" s="200"/>
      <c r="G54" s="200"/>
      <c r="H54" s="200">
        <v>445</v>
      </c>
      <c r="I54" s="200"/>
      <c r="J54" s="200"/>
      <c r="K54" s="200">
        <v>415.8</v>
      </c>
      <c r="L54" s="200"/>
      <c r="M54" s="200"/>
    </row>
    <row r="55" spans="1:13" x14ac:dyDescent="0.25">
      <c r="A55" s="164">
        <v>41548</v>
      </c>
      <c r="B55" s="200">
        <v>304.39999999999998</v>
      </c>
      <c r="C55" s="200"/>
      <c r="D55" s="200"/>
      <c r="E55" s="200">
        <v>228.2</v>
      </c>
      <c r="F55" s="200"/>
      <c r="G55" s="200"/>
      <c r="H55" s="200">
        <v>496.2</v>
      </c>
      <c r="I55" s="200"/>
      <c r="J55" s="200"/>
      <c r="K55" s="200">
        <v>557.79999999999995</v>
      </c>
      <c r="L55" s="200"/>
      <c r="M55" s="200"/>
    </row>
    <row r="56" spans="1:13" x14ac:dyDescent="0.25">
      <c r="A56" s="164">
        <v>41518</v>
      </c>
      <c r="B56" s="200">
        <v>40.5</v>
      </c>
      <c r="C56" s="200"/>
      <c r="D56" s="200"/>
      <c r="E56" s="200">
        <v>31.370000000000005</v>
      </c>
      <c r="F56" s="200"/>
      <c r="G56" s="200"/>
      <c r="H56" s="200">
        <v>136.9</v>
      </c>
      <c r="I56" s="200"/>
      <c r="J56" s="200"/>
      <c r="K56" s="200">
        <v>27</v>
      </c>
      <c r="L56" s="200"/>
      <c r="M56" s="200"/>
    </row>
    <row r="57" spans="1:13" x14ac:dyDescent="0.25">
      <c r="A57" s="164">
        <v>41487</v>
      </c>
      <c r="B57" s="200">
        <v>164.9</v>
      </c>
      <c r="C57" s="200"/>
      <c r="D57" s="200"/>
      <c r="E57" s="200">
        <v>128.94999999999999</v>
      </c>
      <c r="F57" s="200"/>
      <c r="G57" s="200"/>
      <c r="H57" s="200">
        <v>210.7</v>
      </c>
      <c r="I57" s="200"/>
      <c r="J57" s="200"/>
      <c r="K57" s="200">
        <v>251.25</v>
      </c>
      <c r="L57" s="200"/>
      <c r="M57" s="200"/>
    </row>
    <row r="58" spans="1:13" x14ac:dyDescent="0.25">
      <c r="A58" s="164">
        <v>41456</v>
      </c>
      <c r="B58" s="200">
        <v>185.2</v>
      </c>
      <c r="C58" s="200"/>
      <c r="D58" s="200"/>
      <c r="E58" s="200">
        <v>114.53999999999999</v>
      </c>
      <c r="F58" s="200"/>
      <c r="G58" s="200"/>
      <c r="H58" s="200">
        <v>173.80000000000004</v>
      </c>
      <c r="I58" s="200"/>
      <c r="J58" s="200"/>
      <c r="K58" s="200">
        <v>55.6</v>
      </c>
      <c r="L58" s="200"/>
      <c r="M58" s="200"/>
    </row>
    <row r="59" spans="1:13" x14ac:dyDescent="0.25">
      <c r="A59" s="164">
        <v>41426</v>
      </c>
      <c r="B59" s="200">
        <v>231.20000000000002</v>
      </c>
      <c r="C59" s="200"/>
      <c r="D59" s="200"/>
      <c r="E59" s="200">
        <v>211.39999999999998</v>
      </c>
      <c r="F59" s="200"/>
      <c r="G59" s="200"/>
      <c r="H59" s="200">
        <v>368</v>
      </c>
      <c r="I59" s="200"/>
      <c r="J59" s="200"/>
      <c r="K59" s="200">
        <v>228.63999999999996</v>
      </c>
      <c r="L59" s="200"/>
      <c r="M59" s="200"/>
    </row>
    <row r="60" spans="1:13" x14ac:dyDescent="0.25">
      <c r="A60" s="164">
        <v>41395</v>
      </c>
      <c r="B60" s="200">
        <v>105.35</v>
      </c>
      <c r="C60" s="200"/>
      <c r="D60" s="200"/>
      <c r="E60" s="200">
        <v>108.85</v>
      </c>
      <c r="F60" s="200"/>
      <c r="G60" s="200"/>
      <c r="H60" s="200">
        <v>276.2</v>
      </c>
      <c r="I60" s="200"/>
      <c r="J60" s="200"/>
      <c r="K60" s="200">
        <v>199.59</v>
      </c>
      <c r="L60" s="200"/>
      <c r="M60" s="200"/>
    </row>
    <row r="61" spans="1:13" x14ac:dyDescent="0.25">
      <c r="A61" s="164">
        <v>41365</v>
      </c>
      <c r="B61" s="200">
        <v>155.5</v>
      </c>
      <c r="C61" s="200"/>
      <c r="D61" s="200"/>
      <c r="E61" s="200">
        <v>93.899999999999991</v>
      </c>
      <c r="F61" s="200"/>
      <c r="G61" s="200"/>
      <c r="H61" s="200">
        <v>320.95</v>
      </c>
      <c r="I61" s="200"/>
      <c r="J61" s="200"/>
      <c r="K61" s="200">
        <v>291.37000000000006</v>
      </c>
      <c r="L61" s="200"/>
      <c r="M61" s="200"/>
    </row>
    <row r="62" spans="1:13" x14ac:dyDescent="0.25">
      <c r="A62" s="164">
        <v>41334</v>
      </c>
      <c r="B62" s="200">
        <v>23.8</v>
      </c>
      <c r="C62" s="200"/>
      <c r="D62" s="200"/>
      <c r="E62" s="200">
        <v>28</v>
      </c>
      <c r="F62" s="200"/>
      <c r="G62" s="200"/>
      <c r="H62" s="200">
        <v>32.1</v>
      </c>
      <c r="I62" s="200"/>
      <c r="J62" s="200"/>
      <c r="K62" s="200">
        <v>36.339999999999996</v>
      </c>
      <c r="L62" s="200"/>
      <c r="M62" s="200"/>
    </row>
    <row r="63" spans="1:13" x14ac:dyDescent="0.25">
      <c r="A63" s="164">
        <v>41306</v>
      </c>
      <c r="B63" s="200">
        <v>21.5</v>
      </c>
      <c r="C63" s="200"/>
      <c r="D63" s="200"/>
      <c r="E63" s="200">
        <v>33.700000000000003</v>
      </c>
      <c r="F63" s="200"/>
      <c r="G63" s="200"/>
      <c r="H63" s="200">
        <v>45.35</v>
      </c>
      <c r="I63" s="200"/>
      <c r="J63" s="200"/>
      <c r="K63" s="200">
        <v>66.45</v>
      </c>
      <c r="L63" s="200"/>
      <c r="M63" s="200"/>
    </row>
    <row r="64" spans="1:13" x14ac:dyDescent="0.25">
      <c r="A64" s="164">
        <v>41275</v>
      </c>
      <c r="B64" s="200">
        <v>116.3</v>
      </c>
      <c r="C64" s="200"/>
      <c r="D64" s="200"/>
      <c r="E64" s="200">
        <v>99.45</v>
      </c>
      <c r="F64" s="200"/>
      <c r="G64" s="200"/>
      <c r="H64" s="200">
        <v>206.75</v>
      </c>
      <c r="I64" s="200"/>
      <c r="J64" s="200"/>
      <c r="K64" s="200">
        <v>148.52000000000001</v>
      </c>
      <c r="L64" s="200"/>
      <c r="M64" s="200"/>
    </row>
    <row r="65" spans="1:13" x14ac:dyDescent="0.25">
      <c r="A65" s="164">
        <v>41244</v>
      </c>
      <c r="B65" s="200">
        <v>344.7</v>
      </c>
      <c r="C65" s="200"/>
      <c r="D65" s="200"/>
      <c r="E65" s="200">
        <v>403.5</v>
      </c>
      <c r="F65" s="200"/>
      <c r="G65" s="200"/>
      <c r="H65" s="200">
        <v>360.20000000000005</v>
      </c>
      <c r="I65" s="200"/>
      <c r="J65" s="200"/>
      <c r="K65" s="200">
        <v>437.58000000000004</v>
      </c>
      <c r="L65" s="200"/>
      <c r="M65" s="200"/>
    </row>
    <row r="66" spans="1:13" x14ac:dyDescent="0.25">
      <c r="A66" s="164">
        <v>41214</v>
      </c>
      <c r="B66" s="200">
        <v>226.91</v>
      </c>
      <c r="C66" s="200"/>
      <c r="D66" s="200"/>
      <c r="E66" s="200">
        <v>255.69999999999996</v>
      </c>
      <c r="F66" s="200"/>
      <c r="G66" s="200"/>
      <c r="H66" s="200">
        <v>253.79999999999995</v>
      </c>
      <c r="I66" s="200"/>
      <c r="J66" s="200"/>
      <c r="K66" s="200">
        <v>245.46999999999994</v>
      </c>
      <c r="L66" s="200"/>
      <c r="M66" s="200"/>
    </row>
    <row r="67" spans="1:13" x14ac:dyDescent="0.25">
      <c r="A67" s="164">
        <v>41183</v>
      </c>
      <c r="B67" s="200">
        <v>152.69999999999999</v>
      </c>
      <c r="C67" s="200"/>
      <c r="D67" s="200"/>
      <c r="E67" s="200">
        <v>204.79999999999998</v>
      </c>
      <c r="F67" s="200"/>
      <c r="G67" s="200"/>
      <c r="H67" s="200">
        <v>233.9</v>
      </c>
      <c r="I67" s="200"/>
      <c r="J67" s="200"/>
      <c r="K67" s="200">
        <v>116.06</v>
      </c>
      <c r="L67" s="200"/>
      <c r="M67" s="200"/>
    </row>
    <row r="68" spans="1:13" x14ac:dyDescent="0.25">
      <c r="A68" s="164">
        <v>41153</v>
      </c>
      <c r="B68" s="200">
        <v>59.1</v>
      </c>
      <c r="C68" s="200"/>
      <c r="D68" s="200"/>
      <c r="E68" s="200">
        <v>76</v>
      </c>
      <c r="F68" s="200"/>
      <c r="G68" s="200"/>
      <c r="H68" s="200">
        <v>165.7</v>
      </c>
      <c r="I68" s="200"/>
      <c r="J68" s="200"/>
      <c r="K68" s="200">
        <v>145.97</v>
      </c>
      <c r="L68" s="200"/>
      <c r="M68" s="200"/>
    </row>
    <row r="69" spans="1:13" x14ac:dyDescent="0.25">
      <c r="A69" s="164">
        <v>41122</v>
      </c>
      <c r="B69" s="200">
        <v>290.60000000000002</v>
      </c>
      <c r="C69" s="200"/>
      <c r="D69" s="200"/>
      <c r="E69" s="200">
        <v>286.10000000000002</v>
      </c>
      <c r="F69" s="200"/>
      <c r="G69" s="200"/>
      <c r="H69" s="200">
        <v>459.2</v>
      </c>
      <c r="I69" s="200"/>
      <c r="J69" s="200"/>
      <c r="K69" s="200">
        <v>336.16</v>
      </c>
      <c r="L69" s="200"/>
      <c r="M69" s="200"/>
    </row>
    <row r="70" spans="1:13" x14ac:dyDescent="0.25">
      <c r="A70" s="164">
        <v>41091</v>
      </c>
      <c r="B70" s="200">
        <v>249.6</v>
      </c>
      <c r="C70" s="200"/>
      <c r="D70" s="200"/>
      <c r="E70" s="200">
        <v>133.1</v>
      </c>
      <c r="F70" s="200"/>
      <c r="G70" s="200"/>
      <c r="H70" s="200">
        <v>214.3</v>
      </c>
      <c r="I70" s="200"/>
      <c r="J70" s="200"/>
      <c r="K70" s="200">
        <v>105.06</v>
      </c>
      <c r="L70" s="200"/>
      <c r="M70" s="200"/>
    </row>
    <row r="71" spans="1:13" x14ac:dyDescent="0.25">
      <c r="A71" s="164">
        <v>41061</v>
      </c>
      <c r="B71" s="200">
        <v>297.5</v>
      </c>
      <c r="C71" s="200"/>
      <c r="D71" s="200"/>
      <c r="E71" s="200">
        <v>349.9</v>
      </c>
      <c r="F71" s="200"/>
      <c r="G71" s="200"/>
      <c r="H71" s="200">
        <v>346.92</v>
      </c>
      <c r="I71" s="200"/>
      <c r="J71" s="200"/>
      <c r="K71" s="200">
        <v>184.49</v>
      </c>
      <c r="L71" s="200"/>
      <c r="M71" s="200"/>
    </row>
    <row r="72" spans="1:13" x14ac:dyDescent="0.25">
      <c r="A72" s="164">
        <v>41030</v>
      </c>
      <c r="B72" s="200">
        <v>310.3</v>
      </c>
      <c r="C72" s="200"/>
      <c r="D72" s="200"/>
      <c r="E72" s="200">
        <v>211.5</v>
      </c>
      <c r="F72" s="200"/>
      <c r="G72" s="200"/>
      <c r="H72" s="200">
        <v>343.4</v>
      </c>
      <c r="I72" s="200"/>
      <c r="J72" s="200"/>
      <c r="K72" s="200">
        <v>237.51</v>
      </c>
      <c r="L72" s="200"/>
      <c r="M72" s="200"/>
    </row>
    <row r="73" spans="1:13" x14ac:dyDescent="0.25">
      <c r="A73" s="164">
        <v>41000</v>
      </c>
      <c r="B73" s="200">
        <v>97.2</v>
      </c>
      <c r="C73" s="200"/>
      <c r="D73" s="200"/>
      <c r="E73" s="200">
        <v>75.400000000000006</v>
      </c>
      <c r="F73" s="200"/>
      <c r="G73" s="200"/>
      <c r="H73" s="200">
        <v>231.2</v>
      </c>
      <c r="I73" s="200"/>
      <c r="J73" s="200"/>
      <c r="K73" s="200">
        <v>168.53</v>
      </c>
      <c r="L73" s="200"/>
      <c r="M73" s="200"/>
    </row>
    <row r="74" spans="1:13" x14ac:dyDescent="0.25">
      <c r="A74" s="164">
        <v>40969</v>
      </c>
      <c r="B74" s="200">
        <v>204</v>
      </c>
      <c r="C74" s="200"/>
      <c r="D74" s="200"/>
      <c r="E74" s="200">
        <v>227.2</v>
      </c>
      <c r="F74" s="200"/>
      <c r="G74" s="200"/>
      <c r="H74" s="200">
        <v>237.4</v>
      </c>
      <c r="I74" s="200"/>
      <c r="J74" s="200"/>
      <c r="K74" s="200">
        <v>219.39</v>
      </c>
      <c r="L74" s="200"/>
      <c r="M74" s="200"/>
    </row>
    <row r="75" spans="1:13" x14ac:dyDescent="0.25">
      <c r="A75" s="164">
        <v>40940</v>
      </c>
      <c r="B75" s="200">
        <v>112.3</v>
      </c>
      <c r="C75" s="200"/>
      <c r="D75" s="200"/>
      <c r="E75" s="200">
        <v>90.5</v>
      </c>
      <c r="F75" s="200"/>
      <c r="G75" s="200"/>
      <c r="H75" s="200">
        <v>142.1</v>
      </c>
      <c r="I75" s="200"/>
      <c r="J75" s="200"/>
      <c r="K75" s="200">
        <v>144</v>
      </c>
      <c r="L75" s="200"/>
      <c r="M75" s="200"/>
    </row>
    <row r="76" spans="1:13" x14ac:dyDescent="0.25">
      <c r="A76" s="164">
        <v>40909</v>
      </c>
      <c r="B76" s="200">
        <v>100.4</v>
      </c>
      <c r="C76" s="200"/>
      <c r="D76" s="200"/>
      <c r="E76" s="200">
        <v>148.4</v>
      </c>
      <c r="F76" s="200"/>
      <c r="G76" s="200"/>
      <c r="H76" s="200">
        <v>294</v>
      </c>
      <c r="I76" s="200"/>
      <c r="J76" s="200"/>
      <c r="K76" s="200">
        <v>166.52</v>
      </c>
      <c r="L76" s="200"/>
      <c r="M76" s="200"/>
    </row>
    <row r="77" spans="1:13" x14ac:dyDescent="0.25">
      <c r="A77" s="164">
        <v>40878</v>
      </c>
      <c r="B77" s="200">
        <v>132.69999999999999</v>
      </c>
      <c r="C77" s="200"/>
      <c r="D77" s="200"/>
      <c r="E77" s="200">
        <v>266.5</v>
      </c>
      <c r="F77" s="200"/>
      <c r="G77" s="200"/>
      <c r="H77" s="200">
        <v>324.60000000000002</v>
      </c>
      <c r="I77" s="200"/>
      <c r="J77" s="200"/>
      <c r="K77" s="200">
        <v>428.83</v>
      </c>
      <c r="L77" s="200"/>
      <c r="M77" s="200"/>
    </row>
    <row r="78" spans="1:13" x14ac:dyDescent="0.25">
      <c r="A78" s="164">
        <v>40848</v>
      </c>
      <c r="B78" s="200">
        <v>226.1</v>
      </c>
      <c r="C78" s="200"/>
      <c r="D78" s="200"/>
      <c r="E78" s="200">
        <v>290.60000000000002</v>
      </c>
      <c r="F78" s="200"/>
      <c r="G78" s="200"/>
      <c r="H78" s="200">
        <v>355.2</v>
      </c>
      <c r="I78" s="200"/>
      <c r="J78" s="200"/>
      <c r="K78" s="200">
        <v>264.82</v>
      </c>
      <c r="L78" s="200"/>
      <c r="M78" s="200"/>
    </row>
    <row r="79" spans="1:13" x14ac:dyDescent="0.25">
      <c r="A79" s="164">
        <v>40817</v>
      </c>
      <c r="B79" s="200">
        <v>270.2</v>
      </c>
      <c r="C79" s="200"/>
      <c r="D79" s="200"/>
      <c r="E79" s="200">
        <v>452.9</v>
      </c>
      <c r="F79" s="200"/>
      <c r="G79" s="200"/>
      <c r="H79" s="200">
        <v>443.33</v>
      </c>
      <c r="I79" s="200"/>
      <c r="J79" s="200"/>
      <c r="K79" s="200">
        <v>290.98</v>
      </c>
      <c r="L79" s="200"/>
      <c r="M79" s="200"/>
    </row>
    <row r="80" spans="1:13" x14ac:dyDescent="0.25">
      <c r="A80" s="164">
        <v>40787</v>
      </c>
      <c r="B80" s="200">
        <v>95.7</v>
      </c>
      <c r="C80" s="200"/>
      <c r="D80" s="200"/>
      <c r="E80" s="200">
        <v>67.7</v>
      </c>
      <c r="F80" s="200"/>
      <c r="G80" s="200"/>
      <c r="H80" s="200">
        <v>301.55</v>
      </c>
      <c r="I80" s="200"/>
      <c r="J80" s="200"/>
      <c r="K80" s="200">
        <v>239.86</v>
      </c>
      <c r="L80" s="200"/>
      <c r="M80" s="200"/>
    </row>
    <row r="81" spans="1:13" x14ac:dyDescent="0.25">
      <c r="A81" s="164">
        <v>40756</v>
      </c>
      <c r="B81" s="200">
        <v>167.3</v>
      </c>
      <c r="C81" s="200"/>
      <c r="D81" s="200"/>
      <c r="E81" s="200">
        <v>129.30000000000001</v>
      </c>
      <c r="F81" s="200"/>
      <c r="G81" s="200"/>
      <c r="H81" s="200">
        <v>190.4</v>
      </c>
      <c r="I81" s="200"/>
      <c r="J81" s="200"/>
      <c r="K81" s="200">
        <v>241.55</v>
      </c>
      <c r="L81" s="200"/>
      <c r="M81" s="200"/>
    </row>
    <row r="82" spans="1:13" x14ac:dyDescent="0.25">
      <c r="A82" s="164">
        <v>40725</v>
      </c>
      <c r="B82" s="200">
        <v>285.10000000000002</v>
      </c>
      <c r="C82" s="200"/>
      <c r="D82" s="200"/>
      <c r="E82" s="200">
        <v>186.8</v>
      </c>
      <c r="F82" s="200"/>
      <c r="G82" s="200"/>
      <c r="H82" s="200">
        <v>266.3</v>
      </c>
      <c r="I82" s="200"/>
      <c r="J82" s="200"/>
      <c r="K82" s="200">
        <v>264.22000000000003</v>
      </c>
      <c r="L82" s="200"/>
      <c r="M82" s="200"/>
    </row>
    <row r="83" spans="1:13" x14ac:dyDescent="0.25">
      <c r="A83" s="164">
        <v>40695</v>
      </c>
      <c r="B83" s="200">
        <v>330.9</v>
      </c>
      <c r="C83" s="200"/>
      <c r="D83" s="200"/>
      <c r="E83" s="200">
        <v>361.8</v>
      </c>
      <c r="F83" s="200"/>
      <c r="G83" s="200"/>
      <c r="H83" s="200">
        <v>475</v>
      </c>
      <c r="I83" s="200"/>
      <c r="J83" s="200"/>
      <c r="K83" s="200">
        <v>286.86</v>
      </c>
      <c r="L83" s="200"/>
      <c r="M83" s="200"/>
    </row>
    <row r="84" spans="1:13" x14ac:dyDescent="0.25">
      <c r="A84" s="164">
        <v>40664</v>
      </c>
      <c r="B84" s="200">
        <v>122</v>
      </c>
      <c r="C84" s="200"/>
      <c r="D84" s="200"/>
      <c r="E84" s="200">
        <v>50.8</v>
      </c>
      <c r="F84" s="200"/>
      <c r="G84" s="200"/>
      <c r="H84" s="200">
        <v>224.8</v>
      </c>
      <c r="I84" s="200"/>
      <c r="J84" s="200"/>
      <c r="K84" s="200">
        <v>149.84</v>
      </c>
      <c r="L84" s="200"/>
      <c r="M84" s="200"/>
    </row>
    <row r="85" spans="1:13" x14ac:dyDescent="0.25">
      <c r="A85" s="164">
        <v>40634</v>
      </c>
      <c r="B85" s="200">
        <v>72.5</v>
      </c>
      <c r="C85" s="200"/>
      <c r="D85" s="200"/>
      <c r="E85" s="200">
        <v>92.9</v>
      </c>
      <c r="F85" s="200"/>
      <c r="G85" s="200"/>
      <c r="H85" s="200">
        <v>110.04</v>
      </c>
      <c r="I85" s="200"/>
      <c r="J85" s="200"/>
      <c r="K85" s="200">
        <v>134.97999999999999</v>
      </c>
      <c r="L85" s="200"/>
      <c r="M85" s="200"/>
    </row>
    <row r="86" spans="1:13" x14ac:dyDescent="0.25">
      <c r="A86" s="164">
        <v>40603</v>
      </c>
      <c r="B86" s="200">
        <v>48.7</v>
      </c>
      <c r="C86" s="200"/>
      <c r="D86" s="200"/>
      <c r="E86" s="200">
        <v>21.1</v>
      </c>
      <c r="F86" s="200"/>
      <c r="G86" s="200"/>
      <c r="H86" s="200">
        <v>116.2</v>
      </c>
      <c r="I86" s="200"/>
      <c r="J86" s="200"/>
      <c r="K86" s="200">
        <v>99.92</v>
      </c>
      <c r="L86" s="200"/>
      <c r="M86" s="200"/>
    </row>
    <row r="87" spans="1:13" x14ac:dyDescent="0.25">
      <c r="A87" s="164">
        <v>40575</v>
      </c>
      <c r="B87" s="200">
        <v>226.3</v>
      </c>
      <c r="C87" s="200"/>
      <c r="D87" s="200"/>
      <c r="E87" s="200">
        <v>164.2</v>
      </c>
      <c r="F87" s="200"/>
      <c r="G87" s="200"/>
      <c r="H87" s="200">
        <v>277.7</v>
      </c>
      <c r="I87" s="200"/>
      <c r="J87" s="200"/>
      <c r="K87" s="200">
        <v>139.19</v>
      </c>
      <c r="L87" s="200"/>
      <c r="M87" s="200"/>
    </row>
    <row r="88" spans="1:13" x14ac:dyDescent="0.25">
      <c r="A88" s="164">
        <v>40544</v>
      </c>
      <c r="B88" s="200">
        <v>206.8</v>
      </c>
      <c r="C88" s="200"/>
      <c r="D88" s="200"/>
      <c r="E88" s="200">
        <v>194</v>
      </c>
      <c r="F88" s="200"/>
      <c r="G88" s="200"/>
      <c r="H88" s="200">
        <v>200</v>
      </c>
      <c r="I88" s="200"/>
      <c r="J88" s="200"/>
      <c r="K88" s="200">
        <v>179.22</v>
      </c>
      <c r="L88" s="200"/>
      <c r="M88" s="200"/>
    </row>
    <row r="89" spans="1:13" x14ac:dyDescent="0.25">
      <c r="A89" s="164">
        <v>40513</v>
      </c>
      <c r="B89" s="200">
        <v>313.5</v>
      </c>
      <c r="C89" s="200"/>
      <c r="D89" s="200"/>
      <c r="E89" s="200">
        <v>253.6</v>
      </c>
      <c r="F89" s="200"/>
      <c r="G89" s="200"/>
      <c r="H89" s="200">
        <v>482.3</v>
      </c>
      <c r="I89" s="200"/>
      <c r="J89" s="200"/>
      <c r="K89" s="200">
        <v>313.04000000000002</v>
      </c>
      <c r="L89" s="200"/>
      <c r="M89" s="200"/>
    </row>
    <row r="90" spans="1:13" x14ac:dyDescent="0.25">
      <c r="A90" s="164">
        <v>40483</v>
      </c>
      <c r="B90" s="200">
        <v>462.48</v>
      </c>
      <c r="C90" s="200"/>
      <c r="D90" s="200"/>
      <c r="E90" s="200">
        <v>256.3</v>
      </c>
      <c r="F90" s="200"/>
      <c r="G90" s="200"/>
      <c r="H90" s="200">
        <v>526.4</v>
      </c>
      <c r="I90" s="200"/>
      <c r="J90" s="200"/>
      <c r="K90" s="200">
        <v>400.13</v>
      </c>
      <c r="L90" s="200"/>
      <c r="M90" s="200"/>
    </row>
    <row r="91" spans="1:13" x14ac:dyDescent="0.25">
      <c r="A91" s="164">
        <v>40452</v>
      </c>
      <c r="B91" s="200">
        <v>108</v>
      </c>
      <c r="C91" s="200"/>
      <c r="D91" s="200"/>
      <c r="E91" s="200">
        <v>167.3</v>
      </c>
      <c r="F91" s="200"/>
      <c r="G91" s="200"/>
      <c r="H91" s="200">
        <v>211</v>
      </c>
      <c r="I91" s="200"/>
      <c r="J91" s="200"/>
      <c r="K91" s="200">
        <v>361.27</v>
      </c>
      <c r="L91" s="200"/>
      <c r="M91" s="200"/>
    </row>
    <row r="92" spans="1:13" x14ac:dyDescent="0.25">
      <c r="A92" s="164">
        <v>40422</v>
      </c>
      <c r="B92" s="200">
        <v>234.3</v>
      </c>
      <c r="C92" s="200"/>
      <c r="D92" s="200"/>
      <c r="E92" s="200">
        <v>118.5</v>
      </c>
      <c r="F92" s="200"/>
      <c r="G92" s="200"/>
      <c r="H92" s="200">
        <v>179</v>
      </c>
      <c r="I92" s="200"/>
      <c r="J92" s="200"/>
      <c r="K92" s="200">
        <v>384.59</v>
      </c>
      <c r="L92" s="200"/>
      <c r="M92" s="200"/>
    </row>
    <row r="93" spans="1:13" x14ac:dyDescent="0.25">
      <c r="A93" s="164">
        <v>40391</v>
      </c>
      <c r="B93" s="200">
        <v>274.8</v>
      </c>
      <c r="C93" s="200"/>
      <c r="D93" s="200"/>
      <c r="E93" s="200">
        <v>324.60000000000002</v>
      </c>
      <c r="F93" s="200"/>
      <c r="G93" s="200"/>
      <c r="H93" s="200">
        <v>435.6</v>
      </c>
      <c r="I93" s="200"/>
      <c r="J93" s="200"/>
      <c r="K93" s="200">
        <v>326.31</v>
      </c>
      <c r="L93" s="200"/>
      <c r="M93" s="200"/>
    </row>
    <row r="94" spans="1:13" x14ac:dyDescent="0.25">
      <c r="A94" s="164">
        <v>40360</v>
      </c>
      <c r="B94" s="200">
        <v>233.6</v>
      </c>
      <c r="C94" s="200"/>
      <c r="D94" s="200"/>
      <c r="E94" s="200">
        <v>231.95</v>
      </c>
      <c r="F94" s="200"/>
      <c r="G94" s="200"/>
      <c r="H94" s="200">
        <v>377.1</v>
      </c>
      <c r="I94" s="200"/>
      <c r="J94" s="200"/>
      <c r="K94" s="200">
        <v>333.01</v>
      </c>
      <c r="L94" s="200"/>
      <c r="M94" s="200"/>
    </row>
    <row r="95" spans="1:13" x14ac:dyDescent="0.25">
      <c r="A95" s="164">
        <v>40330</v>
      </c>
      <c r="B95" s="200">
        <v>337.2</v>
      </c>
      <c r="C95" s="200"/>
      <c r="D95" s="200"/>
      <c r="E95" s="200">
        <v>219.6</v>
      </c>
      <c r="F95" s="200"/>
      <c r="G95" s="200"/>
      <c r="H95" s="200">
        <v>402.5</v>
      </c>
      <c r="I95" s="200"/>
      <c r="J95" s="200"/>
      <c r="K95" s="200">
        <v>216.67</v>
      </c>
      <c r="L95" s="200"/>
      <c r="M95" s="200"/>
    </row>
    <row r="96" spans="1:13" x14ac:dyDescent="0.25">
      <c r="A96" s="164">
        <v>40299</v>
      </c>
      <c r="B96" s="200">
        <v>301.97000000000003</v>
      </c>
      <c r="C96" s="200"/>
      <c r="D96" s="200"/>
      <c r="E96" s="200">
        <v>257.39999999999998</v>
      </c>
      <c r="F96" s="200"/>
      <c r="G96" s="200"/>
      <c r="H96" s="200">
        <v>361.3</v>
      </c>
      <c r="I96" s="200"/>
      <c r="J96" s="200"/>
      <c r="K96" s="200">
        <v>333.01000000000005</v>
      </c>
      <c r="L96" s="200"/>
      <c r="M96" s="200"/>
    </row>
    <row r="97" spans="1:13" x14ac:dyDescent="0.25">
      <c r="A97" s="164">
        <v>40269</v>
      </c>
      <c r="B97" s="200">
        <v>48.7</v>
      </c>
      <c r="C97" s="200"/>
      <c r="D97" s="200"/>
      <c r="E97" s="200">
        <v>93.8</v>
      </c>
      <c r="F97" s="200"/>
      <c r="G97" s="200"/>
      <c r="H97" s="200">
        <v>116.4</v>
      </c>
      <c r="I97" s="200"/>
      <c r="J97" s="200"/>
      <c r="K97" s="200">
        <v>31.31</v>
      </c>
      <c r="L97" s="200"/>
      <c r="M97" s="200"/>
    </row>
    <row r="98" spans="1:13" x14ac:dyDescent="0.25">
      <c r="A98" s="164">
        <v>40238</v>
      </c>
      <c r="B98" s="200">
        <v>4.2</v>
      </c>
      <c r="C98" s="200"/>
      <c r="D98" s="200"/>
      <c r="E98" s="200">
        <v>12.6</v>
      </c>
      <c r="F98" s="200"/>
      <c r="G98" s="200"/>
      <c r="H98" s="200">
        <v>9.1</v>
      </c>
      <c r="I98" s="200"/>
      <c r="J98" s="200"/>
      <c r="K98" s="200">
        <v>2.0299999999999998</v>
      </c>
      <c r="L98" s="200"/>
      <c r="M98" s="200"/>
    </row>
    <row r="99" spans="1:13" x14ac:dyDescent="0.25">
      <c r="A99" s="164">
        <v>40210</v>
      </c>
      <c r="B99" s="200">
        <v>9.9</v>
      </c>
      <c r="C99" s="200"/>
      <c r="D99" s="200"/>
      <c r="E99" s="200">
        <v>3.2</v>
      </c>
      <c r="F99" s="200"/>
      <c r="G99" s="200"/>
      <c r="H99" s="200">
        <v>6.9</v>
      </c>
      <c r="I99" s="200"/>
      <c r="J99" s="200"/>
      <c r="K99" s="200">
        <v>4.43</v>
      </c>
      <c r="L99" s="200"/>
      <c r="M99" s="200"/>
    </row>
    <row r="100" spans="1:13" x14ac:dyDescent="0.25">
      <c r="A100" s="164">
        <v>40179</v>
      </c>
      <c r="B100" s="200">
        <v>44.16</v>
      </c>
      <c r="C100" s="200"/>
      <c r="D100" s="200"/>
      <c r="E100" s="200">
        <v>33.799999999999997</v>
      </c>
      <c r="F100" s="200"/>
      <c r="G100" s="200"/>
      <c r="H100" s="200">
        <v>53</v>
      </c>
      <c r="I100" s="200"/>
      <c r="J100" s="200"/>
      <c r="K100" s="200">
        <v>72.7</v>
      </c>
      <c r="L100" s="200"/>
      <c r="M100" s="200"/>
    </row>
    <row r="101" spans="1:13" x14ac:dyDescent="0.25">
      <c r="A101" s="164">
        <v>40148</v>
      </c>
      <c r="B101" s="200">
        <v>115.1</v>
      </c>
      <c r="C101" s="200"/>
      <c r="D101" s="200"/>
      <c r="E101" s="200">
        <v>76.3</v>
      </c>
      <c r="F101" s="200"/>
      <c r="G101" s="200"/>
      <c r="H101" s="200">
        <v>121</v>
      </c>
      <c r="I101" s="200"/>
      <c r="J101" s="200"/>
      <c r="K101" s="200">
        <v>88.64</v>
      </c>
      <c r="L101" s="200"/>
      <c r="M101" s="200"/>
    </row>
    <row r="102" spans="1:13" x14ac:dyDescent="0.25">
      <c r="A102" s="164">
        <v>40118</v>
      </c>
      <c r="B102" s="200">
        <v>227</v>
      </c>
      <c r="C102" s="200"/>
      <c r="D102" s="200"/>
      <c r="E102" s="200">
        <v>215.7</v>
      </c>
      <c r="F102" s="200"/>
      <c r="G102" s="200"/>
      <c r="H102" s="200">
        <v>296.39999999999998</v>
      </c>
      <c r="I102" s="200"/>
      <c r="J102" s="200"/>
      <c r="K102" s="200">
        <v>336.82</v>
      </c>
      <c r="L102" s="200"/>
      <c r="M102" s="200"/>
    </row>
    <row r="103" spans="1:13" x14ac:dyDescent="0.25">
      <c r="A103" s="164">
        <v>40087</v>
      </c>
      <c r="B103" s="200">
        <v>238.6</v>
      </c>
      <c r="C103" s="200"/>
      <c r="D103" s="200"/>
      <c r="E103" s="200">
        <v>205.1</v>
      </c>
      <c r="F103" s="200"/>
      <c r="G103" s="200"/>
      <c r="H103" s="200">
        <v>325.39999999999998</v>
      </c>
      <c r="I103" s="200"/>
      <c r="J103" s="200"/>
      <c r="K103" s="200">
        <v>228.2</v>
      </c>
      <c r="L103" s="200"/>
      <c r="M103" s="200"/>
    </row>
    <row r="104" spans="1:13" x14ac:dyDescent="0.25">
      <c r="A104" s="164">
        <v>40057</v>
      </c>
      <c r="B104" s="200">
        <v>189.2</v>
      </c>
      <c r="C104" s="200"/>
      <c r="D104" s="200"/>
      <c r="E104" s="200">
        <v>88.8</v>
      </c>
      <c r="F104" s="200"/>
      <c r="G104" s="200"/>
      <c r="H104" s="200">
        <v>175.9</v>
      </c>
      <c r="I104" s="200"/>
      <c r="J104" s="200"/>
      <c r="K104" s="200">
        <v>163.29</v>
      </c>
      <c r="L104" s="200"/>
      <c r="M104" s="200"/>
    </row>
    <row r="105" spans="1:13" x14ac:dyDescent="0.25">
      <c r="A105" s="164">
        <v>40026</v>
      </c>
      <c r="B105" s="200">
        <v>355</v>
      </c>
      <c r="C105" s="200"/>
      <c r="D105" s="200"/>
      <c r="E105" s="200">
        <v>278.8</v>
      </c>
      <c r="F105" s="200"/>
      <c r="G105" s="200"/>
      <c r="H105" s="200">
        <v>402.9</v>
      </c>
      <c r="I105" s="200"/>
      <c r="J105" s="200"/>
      <c r="K105" s="200">
        <v>264</v>
      </c>
      <c r="L105" s="200"/>
      <c r="M105" s="200"/>
    </row>
    <row r="106" spans="1:13" x14ac:dyDescent="0.25">
      <c r="A106" s="164">
        <v>39995</v>
      </c>
      <c r="B106" s="200">
        <v>334.1</v>
      </c>
      <c r="C106" s="200"/>
      <c r="D106" s="200"/>
      <c r="E106" s="200">
        <v>320.60000000000002</v>
      </c>
      <c r="F106" s="200"/>
      <c r="G106" s="200"/>
      <c r="H106" s="200">
        <v>385.9</v>
      </c>
      <c r="I106" s="200"/>
      <c r="J106" s="200"/>
      <c r="K106" s="200">
        <v>293</v>
      </c>
      <c r="L106" s="200"/>
      <c r="M106" s="200"/>
    </row>
    <row r="107" spans="1:13" x14ac:dyDescent="0.25">
      <c r="A107" s="164">
        <v>39965</v>
      </c>
      <c r="B107" s="200">
        <v>129.47999999999999</v>
      </c>
      <c r="C107" s="200"/>
      <c r="D107" s="200"/>
      <c r="E107" s="200">
        <v>107.3</v>
      </c>
      <c r="F107" s="200"/>
      <c r="G107" s="200"/>
      <c r="H107" s="200">
        <v>155.19999999999999</v>
      </c>
      <c r="I107" s="200"/>
      <c r="J107" s="200"/>
      <c r="K107" s="200">
        <v>148.86000000000001</v>
      </c>
      <c r="L107" s="200"/>
      <c r="M107" s="200"/>
    </row>
    <row r="108" spans="1:13" x14ac:dyDescent="0.25">
      <c r="A108" s="164">
        <v>39934</v>
      </c>
      <c r="B108" s="200">
        <v>89</v>
      </c>
      <c r="C108" s="200"/>
      <c r="D108" s="200"/>
      <c r="E108" s="200">
        <v>81</v>
      </c>
      <c r="F108" s="200"/>
      <c r="G108" s="200"/>
      <c r="H108" s="200">
        <v>80.8</v>
      </c>
      <c r="I108" s="200"/>
      <c r="J108" s="200"/>
      <c r="K108" s="200">
        <v>42.64</v>
      </c>
      <c r="L108" s="200"/>
      <c r="M108" s="200"/>
    </row>
    <row r="109" spans="1:13" x14ac:dyDescent="0.25">
      <c r="A109" s="164">
        <v>39904</v>
      </c>
      <c r="B109" s="200">
        <v>62.93</v>
      </c>
      <c r="C109" s="200"/>
      <c r="D109" s="200"/>
      <c r="E109" s="200">
        <v>36.58</v>
      </c>
      <c r="F109" s="200"/>
      <c r="G109" s="200"/>
      <c r="H109" s="200">
        <v>126.7</v>
      </c>
      <c r="I109" s="200"/>
      <c r="J109" s="200"/>
      <c r="K109" s="200">
        <v>105.29</v>
      </c>
      <c r="L109" s="200"/>
      <c r="M109" s="200"/>
    </row>
    <row r="110" spans="1:13" x14ac:dyDescent="0.25">
      <c r="A110" s="164">
        <v>39873</v>
      </c>
      <c r="B110" s="200">
        <v>42.9</v>
      </c>
      <c r="C110" s="200"/>
      <c r="D110" s="200"/>
      <c r="E110" s="200">
        <v>43</v>
      </c>
      <c r="F110" s="200"/>
      <c r="G110" s="200"/>
      <c r="H110" s="200">
        <v>128.4</v>
      </c>
      <c r="I110" s="200"/>
      <c r="J110" s="200"/>
      <c r="K110" s="200">
        <v>100.83</v>
      </c>
      <c r="L110" s="200"/>
      <c r="M110" s="200"/>
    </row>
    <row r="111" spans="1:13" x14ac:dyDescent="0.25">
      <c r="A111" s="164">
        <v>39845</v>
      </c>
      <c r="B111" s="200">
        <v>286.64999999999998</v>
      </c>
      <c r="C111" s="200"/>
      <c r="D111" s="200"/>
      <c r="E111" s="200">
        <v>274.2</v>
      </c>
      <c r="F111" s="200"/>
      <c r="G111" s="200"/>
      <c r="H111" s="200">
        <v>347.3</v>
      </c>
      <c r="I111" s="200"/>
      <c r="J111" s="200"/>
      <c r="K111" s="200">
        <v>271.88</v>
      </c>
      <c r="L111" s="200"/>
      <c r="M111" s="200"/>
    </row>
    <row r="112" spans="1:13" x14ac:dyDescent="0.25">
      <c r="A112" s="164">
        <v>39814</v>
      </c>
      <c r="B112" s="200">
        <v>202.4</v>
      </c>
      <c r="C112" s="200"/>
      <c r="D112" s="200"/>
      <c r="E112" s="200">
        <v>155.4</v>
      </c>
      <c r="F112" s="200"/>
      <c r="G112" s="200"/>
      <c r="H112" s="200">
        <v>307.60000000000002</v>
      </c>
      <c r="I112" s="200"/>
      <c r="J112" s="200"/>
      <c r="K112" s="200">
        <v>193</v>
      </c>
      <c r="L112" s="200"/>
      <c r="M112" s="200"/>
    </row>
    <row r="113" spans="1:13" x14ac:dyDescent="0.25">
      <c r="A113" s="164">
        <v>39783</v>
      </c>
      <c r="B113" s="200">
        <v>153.84</v>
      </c>
      <c r="C113" s="200"/>
      <c r="D113" s="200"/>
      <c r="E113" s="200">
        <v>250.5</v>
      </c>
      <c r="F113" s="200"/>
      <c r="G113" s="200"/>
      <c r="H113" s="200">
        <v>253.2</v>
      </c>
      <c r="I113" s="200"/>
      <c r="J113" s="200"/>
      <c r="K113" s="200">
        <v>185.48</v>
      </c>
      <c r="L113" s="200"/>
      <c r="M113" s="200"/>
    </row>
    <row r="114" spans="1:13" x14ac:dyDescent="0.25">
      <c r="A114" s="164">
        <v>39753</v>
      </c>
      <c r="B114" s="200">
        <v>228.5</v>
      </c>
      <c r="C114" s="200"/>
      <c r="D114" s="200"/>
      <c r="E114" s="200">
        <v>253.3</v>
      </c>
      <c r="F114" s="200"/>
      <c r="G114" s="200"/>
      <c r="H114" s="200">
        <v>349</v>
      </c>
      <c r="I114" s="200"/>
      <c r="J114" s="200"/>
      <c r="K114" s="200">
        <v>409.69</v>
      </c>
      <c r="L114" s="200"/>
      <c r="M114" s="200"/>
    </row>
    <row r="115" spans="1:13" x14ac:dyDescent="0.25">
      <c r="A115" s="164">
        <v>39722</v>
      </c>
      <c r="B115" s="200">
        <v>153.80000000000001</v>
      </c>
      <c r="C115" s="200"/>
      <c r="D115" s="200"/>
      <c r="E115" s="200">
        <v>175.6</v>
      </c>
      <c r="F115" s="200"/>
      <c r="G115" s="200"/>
      <c r="H115" s="200">
        <v>292.2</v>
      </c>
      <c r="I115" s="200"/>
      <c r="J115" s="200"/>
      <c r="K115" s="200">
        <v>221.3</v>
      </c>
      <c r="L115" s="200"/>
      <c r="M115" s="200"/>
    </row>
    <row r="116" spans="1:13" x14ac:dyDescent="0.25">
      <c r="A116" s="164">
        <v>39692</v>
      </c>
      <c r="B116" s="200">
        <v>200.11</v>
      </c>
      <c r="C116" s="200"/>
      <c r="D116" s="200"/>
      <c r="E116" s="200">
        <v>92.5</v>
      </c>
      <c r="F116" s="200"/>
      <c r="G116" s="200"/>
      <c r="H116" s="200">
        <v>170.6</v>
      </c>
      <c r="I116" s="200"/>
      <c r="J116" s="200"/>
      <c r="K116" s="200">
        <v>295</v>
      </c>
      <c r="L116" s="200"/>
      <c r="M116" s="200"/>
    </row>
    <row r="117" spans="1:13" x14ac:dyDescent="0.25">
      <c r="A117" s="164">
        <v>39661</v>
      </c>
      <c r="B117" s="200">
        <v>290.39999999999998</v>
      </c>
      <c r="C117" s="200"/>
      <c r="D117" s="200"/>
      <c r="E117" s="200">
        <v>241.5</v>
      </c>
      <c r="F117" s="200"/>
      <c r="G117" s="200"/>
      <c r="H117" s="200">
        <v>341.5</v>
      </c>
      <c r="I117" s="200"/>
      <c r="J117" s="200"/>
      <c r="K117" s="200">
        <v>313</v>
      </c>
      <c r="L117" s="200"/>
      <c r="M117" s="200"/>
    </row>
    <row r="118" spans="1:13" x14ac:dyDescent="0.25">
      <c r="A118" s="164">
        <v>39630</v>
      </c>
      <c r="B118" s="200">
        <v>195</v>
      </c>
      <c r="C118" s="200"/>
      <c r="D118" s="200"/>
      <c r="E118" s="200">
        <v>344</v>
      </c>
      <c r="F118" s="200"/>
      <c r="G118" s="200"/>
      <c r="H118" s="200">
        <v>378.1</v>
      </c>
      <c r="I118" s="200"/>
      <c r="J118" s="200"/>
      <c r="K118" s="200">
        <v>275.98</v>
      </c>
      <c r="L118" s="200"/>
      <c r="M118" s="200"/>
    </row>
    <row r="119" spans="1:13" x14ac:dyDescent="0.25">
      <c r="A119" s="164">
        <v>39600</v>
      </c>
      <c r="B119" s="200">
        <v>288.89999999999998</v>
      </c>
      <c r="C119" s="200"/>
      <c r="D119" s="200"/>
      <c r="E119" s="200">
        <v>186.1</v>
      </c>
      <c r="F119" s="200"/>
      <c r="G119" s="200"/>
      <c r="H119" s="200">
        <v>279</v>
      </c>
      <c r="I119" s="200"/>
      <c r="J119" s="200"/>
      <c r="K119" s="200">
        <v>188.19</v>
      </c>
      <c r="L119" s="200"/>
      <c r="M119" s="200"/>
    </row>
    <row r="120" spans="1:13" x14ac:dyDescent="0.25">
      <c r="A120" s="164">
        <v>39569</v>
      </c>
      <c r="B120" s="200">
        <v>20.6</v>
      </c>
      <c r="C120" s="200"/>
      <c r="D120" s="200"/>
      <c r="E120" s="200">
        <v>25.6</v>
      </c>
      <c r="F120" s="200"/>
      <c r="G120" s="200"/>
      <c r="H120" s="200">
        <v>37.4</v>
      </c>
      <c r="I120" s="200"/>
      <c r="J120" s="200"/>
      <c r="K120" s="200">
        <v>10</v>
      </c>
      <c r="L120" s="200"/>
      <c r="M120" s="200"/>
    </row>
    <row r="121" spans="1:13" x14ac:dyDescent="0.25">
      <c r="A121" s="164">
        <v>39539</v>
      </c>
      <c r="B121" s="200">
        <v>67.5</v>
      </c>
      <c r="C121" s="200"/>
      <c r="D121" s="200"/>
      <c r="E121" s="200">
        <v>51.8</v>
      </c>
      <c r="F121" s="200"/>
      <c r="G121" s="200"/>
      <c r="H121" s="200">
        <v>128.9</v>
      </c>
      <c r="I121" s="200"/>
      <c r="J121" s="200"/>
      <c r="K121" s="200">
        <v>47.63</v>
      </c>
      <c r="L121" s="200"/>
      <c r="M121" s="200"/>
    </row>
    <row r="122" spans="1:13" x14ac:dyDescent="0.25">
      <c r="A122" s="164">
        <v>39508</v>
      </c>
      <c r="B122" s="200">
        <v>63.07</v>
      </c>
      <c r="C122" s="200"/>
      <c r="D122" s="200"/>
      <c r="E122" s="200">
        <v>36</v>
      </c>
      <c r="F122" s="200"/>
      <c r="G122" s="200"/>
      <c r="H122" s="200">
        <v>79.2</v>
      </c>
      <c r="I122" s="200"/>
      <c r="J122" s="200"/>
      <c r="K122" s="200">
        <v>28.8</v>
      </c>
      <c r="L122" s="200"/>
      <c r="M122" s="200"/>
    </row>
    <row r="123" spans="1:13" x14ac:dyDescent="0.25">
      <c r="A123" s="164">
        <v>39479</v>
      </c>
      <c r="B123" s="200">
        <v>162.1</v>
      </c>
      <c r="C123" s="200"/>
      <c r="D123" s="200"/>
      <c r="E123" s="200">
        <v>112.3</v>
      </c>
      <c r="F123" s="200"/>
      <c r="G123" s="200"/>
      <c r="H123" s="200">
        <v>213.3</v>
      </c>
      <c r="I123" s="200"/>
      <c r="J123" s="200"/>
      <c r="K123" s="200">
        <v>132.30000000000001</v>
      </c>
      <c r="L123" s="200"/>
      <c r="M123" s="200"/>
    </row>
    <row r="124" spans="1:13" x14ac:dyDescent="0.25">
      <c r="A124" s="164">
        <v>39448</v>
      </c>
      <c r="B124" s="200">
        <v>147.9</v>
      </c>
      <c r="C124" s="200"/>
      <c r="D124" s="200"/>
      <c r="E124" s="200">
        <v>64.400000000000006</v>
      </c>
      <c r="F124" s="200"/>
      <c r="G124" s="200"/>
      <c r="H124" s="200">
        <v>115.3</v>
      </c>
      <c r="I124" s="200"/>
      <c r="J124" s="200"/>
      <c r="K124" s="200">
        <v>69</v>
      </c>
      <c r="L124" s="200"/>
      <c r="M124" s="200"/>
    </row>
    <row r="125" spans="1:13" x14ac:dyDescent="0.25">
      <c r="A125" s="164">
        <v>39417</v>
      </c>
      <c r="B125" s="200">
        <v>463.56</v>
      </c>
      <c r="C125" s="200"/>
      <c r="D125" s="200"/>
      <c r="E125" s="200">
        <v>386.9</v>
      </c>
      <c r="F125" s="200"/>
      <c r="G125" s="200"/>
      <c r="H125" s="200">
        <v>602.20000000000005</v>
      </c>
      <c r="I125" s="200"/>
      <c r="J125" s="200"/>
      <c r="K125" s="200">
        <v>345.64</v>
      </c>
      <c r="L125" s="200"/>
      <c r="M125" s="200"/>
    </row>
    <row r="126" spans="1:13" x14ac:dyDescent="0.25">
      <c r="A126" s="164">
        <v>39387</v>
      </c>
      <c r="B126" s="200">
        <v>158.07</v>
      </c>
      <c r="C126" s="200"/>
      <c r="D126" s="200"/>
      <c r="E126" s="200">
        <v>188.9</v>
      </c>
      <c r="F126" s="200"/>
      <c r="G126" s="200"/>
      <c r="H126" s="200">
        <v>215.3</v>
      </c>
      <c r="I126" s="200"/>
      <c r="J126" s="200"/>
      <c r="K126" s="200">
        <v>363.6</v>
      </c>
      <c r="L126" s="200"/>
      <c r="M126" s="200"/>
    </row>
    <row r="127" spans="1:13" x14ac:dyDescent="0.25">
      <c r="A127" s="164">
        <v>39356</v>
      </c>
      <c r="B127" s="200">
        <v>288.8</v>
      </c>
      <c r="C127" s="200"/>
      <c r="D127" s="200"/>
      <c r="E127" s="200">
        <v>283.7</v>
      </c>
      <c r="F127" s="200"/>
      <c r="G127" s="200"/>
      <c r="H127" s="200">
        <v>320.3</v>
      </c>
      <c r="I127" s="200"/>
      <c r="J127" s="200"/>
      <c r="K127" s="200">
        <v>230</v>
      </c>
      <c r="L127" s="200"/>
      <c r="M127" s="200"/>
    </row>
    <row r="128" spans="1:13" x14ac:dyDescent="0.25">
      <c r="A128" s="164">
        <v>39326</v>
      </c>
      <c r="B128" s="200">
        <v>80.13</v>
      </c>
      <c r="C128" s="200"/>
      <c r="D128" s="200"/>
      <c r="E128" s="200">
        <v>109</v>
      </c>
      <c r="F128" s="200"/>
      <c r="G128" s="200"/>
      <c r="H128" s="200">
        <v>157.69999999999999</v>
      </c>
      <c r="I128" s="200"/>
      <c r="J128" s="200"/>
      <c r="K128" s="200">
        <v>121.3</v>
      </c>
      <c r="L128" s="200"/>
      <c r="M128" s="200"/>
    </row>
    <row r="129" spans="1:13" x14ac:dyDescent="0.25">
      <c r="A129" s="164">
        <v>39295</v>
      </c>
      <c r="B129" s="200">
        <v>374.3</v>
      </c>
      <c r="C129" s="200"/>
      <c r="D129" s="200"/>
      <c r="E129" s="200">
        <v>246.1</v>
      </c>
      <c r="F129" s="200"/>
      <c r="G129" s="200"/>
      <c r="H129" s="200">
        <v>365.1</v>
      </c>
      <c r="I129" s="200"/>
      <c r="J129" s="200"/>
      <c r="K129" s="200">
        <v>307.88</v>
      </c>
      <c r="L129" s="200"/>
      <c r="M129" s="200"/>
    </row>
    <row r="130" spans="1:13" x14ac:dyDescent="0.25">
      <c r="A130" s="164">
        <v>39264</v>
      </c>
      <c r="B130" s="200">
        <v>211.2</v>
      </c>
      <c r="C130" s="200"/>
      <c r="D130" s="200"/>
      <c r="E130" s="200">
        <v>240</v>
      </c>
      <c r="F130" s="200"/>
      <c r="G130" s="200"/>
      <c r="H130" s="200">
        <v>242.75</v>
      </c>
      <c r="I130" s="200"/>
      <c r="J130" s="200"/>
      <c r="K130" s="200">
        <v>117.73</v>
      </c>
      <c r="L130" s="200"/>
      <c r="M130" s="200"/>
    </row>
    <row r="131" spans="1:13" x14ac:dyDescent="0.25">
      <c r="A131" s="164">
        <v>39234</v>
      </c>
      <c r="B131" s="200">
        <v>276.7</v>
      </c>
      <c r="C131" s="200"/>
      <c r="D131" s="200"/>
      <c r="E131" s="200">
        <v>211.3</v>
      </c>
      <c r="F131" s="200"/>
      <c r="G131" s="200"/>
      <c r="H131" s="200">
        <v>363</v>
      </c>
      <c r="I131" s="200"/>
      <c r="J131" s="200"/>
      <c r="K131" s="200">
        <v>206.69</v>
      </c>
      <c r="L131" s="200"/>
      <c r="M131" s="200"/>
    </row>
    <row r="132" spans="1:13" x14ac:dyDescent="0.25">
      <c r="A132" s="164">
        <v>39203</v>
      </c>
      <c r="B132" s="200">
        <v>91.6</v>
      </c>
      <c r="C132" s="200"/>
      <c r="D132" s="200"/>
      <c r="E132" s="200">
        <v>73</v>
      </c>
      <c r="F132" s="200"/>
      <c r="G132" s="200"/>
      <c r="H132" s="200">
        <v>133.19999999999999</v>
      </c>
      <c r="I132" s="200"/>
      <c r="J132" s="200"/>
      <c r="K132" s="200">
        <v>92.14</v>
      </c>
      <c r="L132" s="200"/>
      <c r="M132" s="200"/>
    </row>
    <row r="133" spans="1:13" x14ac:dyDescent="0.25">
      <c r="A133" s="164">
        <v>39173</v>
      </c>
      <c r="B133" s="200">
        <v>33.76</v>
      </c>
      <c r="C133" s="200"/>
      <c r="D133" s="200"/>
      <c r="E133" s="200">
        <v>8</v>
      </c>
      <c r="F133" s="200"/>
      <c r="G133" s="200"/>
      <c r="H133" s="200">
        <v>30.8</v>
      </c>
      <c r="I133" s="200"/>
      <c r="J133" s="200"/>
      <c r="K133" s="200">
        <v>6.2</v>
      </c>
      <c r="L133" s="200"/>
      <c r="M133" s="200"/>
    </row>
    <row r="134" spans="1:13" x14ac:dyDescent="0.25">
      <c r="A134" s="164">
        <v>39142</v>
      </c>
      <c r="B134" s="200">
        <v>62.42</v>
      </c>
      <c r="C134" s="200"/>
      <c r="D134" s="200"/>
      <c r="E134" s="200">
        <v>40</v>
      </c>
      <c r="F134" s="200"/>
      <c r="G134" s="200"/>
      <c r="H134" s="200">
        <v>103.1</v>
      </c>
      <c r="I134" s="200"/>
      <c r="J134" s="200"/>
      <c r="K134" s="200">
        <v>35.64</v>
      </c>
      <c r="L134" s="200"/>
      <c r="M134" s="200"/>
    </row>
    <row r="135" spans="1:13" x14ac:dyDescent="0.25">
      <c r="A135" s="164">
        <v>39114</v>
      </c>
      <c r="B135" s="200">
        <v>57.3</v>
      </c>
      <c r="C135" s="200"/>
      <c r="D135" s="200"/>
      <c r="E135" s="200">
        <v>17.5</v>
      </c>
      <c r="F135" s="200"/>
      <c r="G135" s="200"/>
      <c r="H135" s="200">
        <v>60</v>
      </c>
      <c r="I135" s="200"/>
      <c r="J135" s="200"/>
      <c r="K135" s="200">
        <v>74.59</v>
      </c>
      <c r="L135" s="200"/>
      <c r="M135" s="200"/>
    </row>
    <row r="136" spans="1:13" x14ac:dyDescent="0.25">
      <c r="A136" s="164">
        <v>39083</v>
      </c>
      <c r="B136" s="200">
        <v>68.349999999999994</v>
      </c>
      <c r="C136" s="200"/>
      <c r="D136" s="200"/>
      <c r="E136" s="200">
        <v>101.6</v>
      </c>
      <c r="F136" s="200"/>
      <c r="G136" s="200"/>
      <c r="H136" s="200">
        <v>91.5</v>
      </c>
      <c r="I136" s="200"/>
      <c r="J136" s="200"/>
      <c r="K136" s="200">
        <v>92.34</v>
      </c>
      <c r="L136" s="200"/>
      <c r="M136" s="200"/>
    </row>
    <row r="137" spans="1:13" x14ac:dyDescent="0.25">
      <c r="A137" s="164">
        <v>39052</v>
      </c>
      <c r="B137" s="200">
        <v>259.7</v>
      </c>
      <c r="C137" s="200"/>
      <c r="D137" s="200"/>
      <c r="E137" s="200">
        <v>251.4</v>
      </c>
      <c r="F137" s="200"/>
      <c r="G137" s="200"/>
      <c r="H137" s="200">
        <v>307.8</v>
      </c>
      <c r="I137" s="200"/>
      <c r="J137" s="200"/>
      <c r="K137" s="200">
        <v>184.8</v>
      </c>
      <c r="L137" s="200"/>
      <c r="M137" s="200"/>
    </row>
    <row r="138" spans="1:13" x14ac:dyDescent="0.25">
      <c r="A138" s="164">
        <v>39022</v>
      </c>
      <c r="B138" s="200">
        <v>203.1</v>
      </c>
      <c r="C138" s="200"/>
      <c r="D138" s="200"/>
      <c r="E138" s="200">
        <v>147.19999999999999</v>
      </c>
      <c r="F138" s="200"/>
      <c r="G138" s="200"/>
      <c r="H138" s="200">
        <v>275.3</v>
      </c>
      <c r="I138" s="200"/>
      <c r="J138" s="200"/>
      <c r="K138" s="200">
        <v>246.74</v>
      </c>
      <c r="L138" s="200"/>
      <c r="M138" s="200"/>
    </row>
    <row r="139" spans="1:13" x14ac:dyDescent="0.25">
      <c r="A139" s="164">
        <v>38991</v>
      </c>
      <c r="B139" s="200">
        <v>228.6</v>
      </c>
      <c r="C139" s="200"/>
      <c r="D139" s="200"/>
      <c r="E139" s="200">
        <v>238.25</v>
      </c>
      <c r="F139" s="200"/>
      <c r="G139" s="200"/>
      <c r="H139" s="200">
        <v>282.60000000000002</v>
      </c>
      <c r="I139" s="200"/>
      <c r="J139" s="200"/>
      <c r="K139" s="200">
        <v>274.39</v>
      </c>
      <c r="L139" s="200"/>
      <c r="M139" s="200"/>
    </row>
    <row r="140" spans="1:13" x14ac:dyDescent="0.25">
      <c r="A140" s="164">
        <v>38961</v>
      </c>
      <c r="B140" s="200">
        <v>154</v>
      </c>
      <c r="C140" s="200"/>
      <c r="D140" s="200"/>
      <c r="E140" s="200">
        <v>83.81</v>
      </c>
      <c r="F140" s="200"/>
      <c r="G140" s="200"/>
      <c r="H140" s="200">
        <v>200.11</v>
      </c>
      <c r="I140" s="200"/>
      <c r="J140" s="200"/>
      <c r="K140" s="200">
        <v>124.04</v>
      </c>
      <c r="L140" s="200"/>
      <c r="M140" s="200"/>
    </row>
    <row r="141" spans="1:13" x14ac:dyDescent="0.25">
      <c r="A141" s="164">
        <v>38930</v>
      </c>
      <c r="B141" s="200">
        <v>334.23</v>
      </c>
      <c r="C141" s="200"/>
      <c r="D141" s="200"/>
      <c r="E141" s="200">
        <v>248.1</v>
      </c>
      <c r="F141" s="200"/>
      <c r="G141" s="200"/>
      <c r="H141" s="200">
        <v>342.3</v>
      </c>
      <c r="I141" s="200"/>
      <c r="J141" s="200"/>
      <c r="K141" s="200">
        <v>201.79</v>
      </c>
      <c r="L141" s="200"/>
      <c r="M141" s="200"/>
    </row>
    <row r="142" spans="1:13" x14ac:dyDescent="0.25">
      <c r="A142" s="164">
        <v>38899</v>
      </c>
      <c r="B142" s="200">
        <v>350.9</v>
      </c>
      <c r="C142" s="200"/>
      <c r="D142" s="200"/>
      <c r="E142" s="200">
        <v>304.60000000000002</v>
      </c>
      <c r="F142" s="200"/>
      <c r="G142" s="200"/>
      <c r="H142" s="200">
        <v>400.1</v>
      </c>
      <c r="I142" s="200"/>
      <c r="J142" s="200"/>
      <c r="K142" s="200">
        <v>275.17</v>
      </c>
      <c r="L142" s="200"/>
      <c r="M142" s="200"/>
    </row>
    <row r="143" spans="1:13" x14ac:dyDescent="0.25">
      <c r="A143" s="164">
        <v>38869</v>
      </c>
      <c r="B143" s="200">
        <v>304</v>
      </c>
      <c r="C143" s="200"/>
      <c r="D143" s="200"/>
      <c r="E143" s="200">
        <v>296.39999999999998</v>
      </c>
      <c r="F143" s="200"/>
      <c r="G143" s="200"/>
      <c r="H143" s="200">
        <v>338.7</v>
      </c>
      <c r="I143" s="200"/>
      <c r="J143" s="200"/>
      <c r="K143" s="200">
        <v>286.62</v>
      </c>
      <c r="L143" s="200"/>
      <c r="M143" s="200"/>
    </row>
    <row r="144" spans="1:13" x14ac:dyDescent="0.25">
      <c r="A144" s="164">
        <v>38838</v>
      </c>
      <c r="B144" s="200">
        <v>104.4</v>
      </c>
      <c r="C144" s="200"/>
      <c r="D144" s="200"/>
      <c r="E144" s="200">
        <v>65.5</v>
      </c>
      <c r="F144" s="200"/>
      <c r="G144" s="200"/>
      <c r="H144" s="200">
        <v>109.9</v>
      </c>
      <c r="I144" s="200"/>
      <c r="J144" s="200"/>
      <c r="K144" s="200">
        <v>38.56</v>
      </c>
      <c r="L144" s="200"/>
      <c r="M144" s="200"/>
    </row>
    <row r="145" spans="1:13" x14ac:dyDescent="0.25">
      <c r="A145" s="164">
        <v>38808</v>
      </c>
      <c r="B145" s="200">
        <v>24.3</v>
      </c>
      <c r="C145" s="200"/>
      <c r="D145" s="200"/>
      <c r="E145" s="200">
        <v>19</v>
      </c>
      <c r="F145" s="200"/>
      <c r="G145" s="200"/>
      <c r="H145" s="200">
        <v>54.8</v>
      </c>
      <c r="I145" s="200"/>
      <c r="J145" s="200"/>
      <c r="K145" s="200">
        <v>32.450000000000003</v>
      </c>
      <c r="L145" s="200"/>
      <c r="M145" s="200"/>
    </row>
    <row r="146" spans="1:13" x14ac:dyDescent="0.25">
      <c r="A146" s="164">
        <v>38777</v>
      </c>
      <c r="B146" s="200">
        <v>136.5</v>
      </c>
      <c r="C146" s="200"/>
      <c r="D146" s="200"/>
      <c r="E146" s="200">
        <v>69.5</v>
      </c>
      <c r="F146" s="200"/>
      <c r="G146" s="200"/>
      <c r="H146" s="200">
        <v>203.4</v>
      </c>
      <c r="I146" s="200"/>
      <c r="J146" s="200"/>
      <c r="K146" s="200">
        <v>66.08</v>
      </c>
      <c r="L146" s="200"/>
      <c r="M146" s="200"/>
    </row>
    <row r="147" spans="1:13" x14ac:dyDescent="0.25">
      <c r="A147" s="164">
        <v>38749</v>
      </c>
      <c r="B147" s="200">
        <v>106.65</v>
      </c>
      <c r="C147" s="200"/>
      <c r="D147" s="200"/>
      <c r="E147" s="200">
        <v>104.95</v>
      </c>
      <c r="F147" s="200"/>
      <c r="G147" s="200"/>
      <c r="H147" s="200">
        <v>161.5</v>
      </c>
      <c r="I147" s="200"/>
      <c r="J147" s="200"/>
      <c r="K147" s="200">
        <v>59.27</v>
      </c>
      <c r="L147" s="200"/>
      <c r="M147" s="200"/>
    </row>
    <row r="148" spans="1:13" x14ac:dyDescent="0.25">
      <c r="A148" s="164">
        <v>38718</v>
      </c>
      <c r="B148" s="200">
        <v>307.3</v>
      </c>
      <c r="C148" s="200"/>
      <c r="D148" s="200"/>
      <c r="E148" s="200">
        <v>412.8</v>
      </c>
      <c r="F148" s="200"/>
      <c r="G148" s="200"/>
      <c r="H148" s="200">
        <v>328.6</v>
      </c>
      <c r="I148" s="200"/>
      <c r="J148" s="200"/>
      <c r="K148" s="200">
        <v>267.04000000000002</v>
      </c>
      <c r="L148" s="200"/>
      <c r="M148" s="200"/>
    </row>
    <row r="149" spans="1:13" x14ac:dyDescent="0.25">
      <c r="A149" s="164">
        <v>38687</v>
      </c>
      <c r="B149" s="200">
        <v>243.2</v>
      </c>
      <c r="C149" s="200"/>
      <c r="D149" s="200"/>
      <c r="E149" s="200">
        <v>254.9</v>
      </c>
      <c r="F149" s="200"/>
      <c r="G149" s="200"/>
      <c r="H149" s="200">
        <v>280.8</v>
      </c>
      <c r="I149" s="200"/>
      <c r="J149" s="200"/>
      <c r="K149" s="200">
        <v>341.2</v>
      </c>
      <c r="L149" s="200"/>
      <c r="M149" s="200"/>
    </row>
    <row r="150" spans="1:13" x14ac:dyDescent="0.25">
      <c r="A150" s="164">
        <v>38657</v>
      </c>
      <c r="B150" s="200">
        <v>194.4</v>
      </c>
      <c r="C150" s="200"/>
      <c r="D150" s="200"/>
      <c r="E150" s="200">
        <v>169.4</v>
      </c>
      <c r="F150" s="200"/>
      <c r="G150" s="200"/>
      <c r="H150" s="200">
        <v>672.9</v>
      </c>
      <c r="I150" s="200"/>
      <c r="J150" s="200"/>
      <c r="K150" s="200">
        <v>391</v>
      </c>
      <c r="L150" s="200"/>
      <c r="M150" s="200"/>
    </row>
    <row r="151" spans="1:13" x14ac:dyDescent="0.25">
      <c r="A151" s="164">
        <v>38626</v>
      </c>
      <c r="B151" s="200">
        <v>131</v>
      </c>
      <c r="C151" s="200"/>
      <c r="D151" s="200"/>
      <c r="E151" s="200">
        <v>86.7</v>
      </c>
      <c r="F151" s="200"/>
      <c r="G151" s="200"/>
      <c r="H151" s="200">
        <v>233.6</v>
      </c>
      <c r="I151" s="200"/>
      <c r="J151" s="200"/>
      <c r="K151" s="200">
        <v>203.77</v>
      </c>
      <c r="L151" s="200"/>
      <c r="M151" s="200"/>
    </row>
    <row r="152" spans="1:13" x14ac:dyDescent="0.25">
      <c r="A152" s="164">
        <v>38596</v>
      </c>
      <c r="B152" s="200">
        <v>107.1</v>
      </c>
      <c r="C152" s="200"/>
      <c r="D152" s="200"/>
      <c r="E152" s="200">
        <v>131.30000000000001</v>
      </c>
      <c r="F152" s="200"/>
      <c r="G152" s="200"/>
      <c r="H152" s="200">
        <v>197.8</v>
      </c>
      <c r="I152" s="200"/>
      <c r="J152" s="200"/>
      <c r="K152" s="200">
        <v>159.37</v>
      </c>
      <c r="L152" s="200"/>
      <c r="M152" s="200"/>
    </row>
    <row r="153" spans="1:13" x14ac:dyDescent="0.25">
      <c r="A153" s="164">
        <v>38565</v>
      </c>
      <c r="B153" s="200">
        <v>165.9</v>
      </c>
      <c r="C153" s="200"/>
      <c r="D153" s="200"/>
      <c r="E153" s="200">
        <v>186.1</v>
      </c>
      <c r="F153" s="200"/>
      <c r="G153" s="200"/>
      <c r="H153" s="200">
        <v>225.1</v>
      </c>
      <c r="I153" s="200"/>
      <c r="J153" s="200"/>
      <c r="K153" s="200">
        <v>124.31</v>
      </c>
      <c r="L153" s="200"/>
      <c r="M153" s="200"/>
    </row>
    <row r="154" spans="1:13" x14ac:dyDescent="0.25">
      <c r="A154" s="164">
        <v>38534</v>
      </c>
      <c r="B154" s="200">
        <v>342.5</v>
      </c>
      <c r="C154" s="200"/>
      <c r="D154" s="200"/>
      <c r="E154" s="200">
        <v>290</v>
      </c>
      <c r="F154" s="200"/>
      <c r="G154" s="200"/>
      <c r="H154" s="200">
        <v>444.2</v>
      </c>
      <c r="I154" s="200"/>
      <c r="J154" s="200"/>
      <c r="K154" s="200">
        <v>242</v>
      </c>
      <c r="L154" s="200"/>
      <c r="M154" s="200"/>
    </row>
    <row r="155" spans="1:13" x14ac:dyDescent="0.25">
      <c r="A155" s="164">
        <v>38504</v>
      </c>
      <c r="B155" s="200">
        <v>233</v>
      </c>
      <c r="C155" s="200"/>
      <c r="D155" s="200"/>
      <c r="E155" s="200">
        <v>386.3</v>
      </c>
      <c r="F155" s="200"/>
      <c r="G155" s="200"/>
      <c r="H155" s="200">
        <v>389.9</v>
      </c>
      <c r="I155" s="200"/>
      <c r="J155" s="200"/>
      <c r="K155" s="200">
        <v>342.98</v>
      </c>
      <c r="L155" s="200"/>
      <c r="M155" s="200"/>
    </row>
    <row r="156" spans="1:13" x14ac:dyDescent="0.25">
      <c r="A156" s="164">
        <v>38473</v>
      </c>
      <c r="B156" s="200">
        <v>177.1</v>
      </c>
      <c r="C156" s="200"/>
      <c r="D156" s="200"/>
      <c r="E156" s="200">
        <v>230.65</v>
      </c>
      <c r="F156" s="200"/>
      <c r="G156" s="200"/>
      <c r="H156" s="200">
        <v>281.8</v>
      </c>
      <c r="I156" s="200"/>
      <c r="J156" s="200"/>
      <c r="K156" s="200">
        <v>252.04</v>
      </c>
      <c r="L156" s="200"/>
      <c r="M156" s="200"/>
    </row>
    <row r="157" spans="1:13" x14ac:dyDescent="0.25">
      <c r="A157" s="164">
        <v>38443</v>
      </c>
      <c r="B157" s="200">
        <v>21.7</v>
      </c>
      <c r="C157" s="200"/>
      <c r="D157" s="200"/>
      <c r="E157" s="200">
        <v>3.3</v>
      </c>
      <c r="F157" s="200"/>
      <c r="G157" s="200"/>
      <c r="H157" s="200">
        <v>29.8</v>
      </c>
      <c r="I157" s="200"/>
      <c r="J157" s="200"/>
      <c r="K157" s="200">
        <v>7.78</v>
      </c>
      <c r="L157" s="200"/>
      <c r="M157" s="200"/>
    </row>
    <row r="158" spans="1:13" x14ac:dyDescent="0.25">
      <c r="A158" s="164">
        <v>38412</v>
      </c>
      <c r="B158" s="200">
        <v>32.299999999999997</v>
      </c>
      <c r="C158" s="200"/>
      <c r="D158" s="200"/>
      <c r="E158" s="200">
        <v>27.5</v>
      </c>
      <c r="F158" s="200"/>
      <c r="G158" s="200"/>
      <c r="H158" s="200">
        <v>114</v>
      </c>
      <c r="I158" s="200"/>
      <c r="J158" s="200"/>
      <c r="K158" s="200">
        <v>99.47</v>
      </c>
      <c r="L158" s="200"/>
      <c r="M158" s="200"/>
    </row>
    <row r="159" spans="1:13" x14ac:dyDescent="0.25">
      <c r="A159" s="164">
        <v>38384</v>
      </c>
      <c r="B159" s="200">
        <v>38.1</v>
      </c>
      <c r="C159" s="200"/>
      <c r="D159" s="200"/>
      <c r="E159" s="200">
        <v>15.5</v>
      </c>
      <c r="F159" s="200"/>
      <c r="G159" s="200"/>
      <c r="H159" s="200">
        <v>46.1</v>
      </c>
      <c r="I159" s="200"/>
      <c r="J159" s="200"/>
      <c r="K159" s="200">
        <v>22.07</v>
      </c>
      <c r="L159" s="200"/>
      <c r="M159" s="200"/>
    </row>
    <row r="160" spans="1:13" x14ac:dyDescent="0.25">
      <c r="A160" s="164">
        <v>38353</v>
      </c>
      <c r="B160" s="200">
        <v>226</v>
      </c>
      <c r="C160" s="200"/>
      <c r="D160" s="200"/>
      <c r="E160" s="200">
        <v>290.39999999999998</v>
      </c>
      <c r="F160" s="200"/>
      <c r="G160" s="200"/>
      <c r="H160" s="200">
        <v>444.4</v>
      </c>
      <c r="I160" s="200"/>
      <c r="J160" s="200"/>
      <c r="K160" s="200">
        <v>282.37</v>
      </c>
      <c r="L160" s="200"/>
      <c r="M160" s="200"/>
    </row>
    <row r="161" spans="1:13" x14ac:dyDescent="0.25">
      <c r="A161" s="164">
        <v>38322</v>
      </c>
      <c r="B161" s="200">
        <v>286.5</v>
      </c>
      <c r="C161" s="200"/>
      <c r="D161" s="200"/>
      <c r="E161" s="200">
        <v>332.8</v>
      </c>
      <c r="F161" s="200"/>
      <c r="G161" s="200"/>
      <c r="H161" s="200">
        <v>431.8</v>
      </c>
      <c r="I161" s="200"/>
      <c r="J161" s="200"/>
      <c r="K161" s="200">
        <v>286.27</v>
      </c>
      <c r="L161" s="200"/>
      <c r="M161" s="200"/>
    </row>
    <row r="162" spans="1:13" x14ac:dyDescent="0.25">
      <c r="A162" s="164">
        <v>38292</v>
      </c>
      <c r="B162" s="200">
        <v>244.4</v>
      </c>
      <c r="C162" s="200"/>
      <c r="D162" s="200"/>
      <c r="E162" s="200">
        <v>245.5</v>
      </c>
      <c r="F162" s="200"/>
      <c r="G162" s="200"/>
      <c r="H162" s="200">
        <v>382.6</v>
      </c>
      <c r="I162" s="200"/>
      <c r="J162" s="200"/>
      <c r="K162" s="200">
        <v>248.58</v>
      </c>
      <c r="L162" s="200"/>
      <c r="M162" s="200"/>
    </row>
    <row r="163" spans="1:13" x14ac:dyDescent="0.25">
      <c r="A163" s="164">
        <v>38261</v>
      </c>
      <c r="B163" s="200">
        <v>207.8</v>
      </c>
      <c r="C163" s="200"/>
      <c r="D163" s="200"/>
      <c r="E163" s="200">
        <v>209</v>
      </c>
      <c r="F163" s="200"/>
      <c r="G163" s="200"/>
      <c r="H163" s="200">
        <v>342.8</v>
      </c>
      <c r="I163" s="200"/>
      <c r="J163" s="200"/>
      <c r="K163" s="200">
        <v>339.95</v>
      </c>
      <c r="L163" s="200"/>
      <c r="M163" s="200"/>
    </row>
    <row r="164" spans="1:13" x14ac:dyDescent="0.25">
      <c r="A164" s="164">
        <v>38231</v>
      </c>
      <c r="B164" s="200">
        <v>284.5</v>
      </c>
      <c r="C164" s="200"/>
      <c r="D164" s="200"/>
      <c r="E164" s="200">
        <v>154.61000000000001</v>
      </c>
      <c r="F164" s="200"/>
      <c r="G164" s="200"/>
      <c r="H164" s="200">
        <v>313.8</v>
      </c>
      <c r="I164" s="200"/>
      <c r="J164" s="200"/>
      <c r="K164" s="200">
        <v>297.14</v>
      </c>
      <c r="L164" s="200"/>
      <c r="M164" s="200"/>
    </row>
    <row r="165" spans="1:13" x14ac:dyDescent="0.25">
      <c r="A165" s="164">
        <v>38200</v>
      </c>
      <c r="B165" s="200">
        <v>143.4</v>
      </c>
      <c r="C165" s="200"/>
      <c r="D165" s="200"/>
      <c r="E165" s="200">
        <v>194.9</v>
      </c>
      <c r="F165" s="200"/>
      <c r="G165" s="200"/>
      <c r="H165" s="200">
        <v>290.5</v>
      </c>
      <c r="I165" s="200"/>
      <c r="J165" s="200"/>
      <c r="K165" s="200">
        <v>227.1</v>
      </c>
      <c r="L165" s="200"/>
      <c r="M165" s="200"/>
    </row>
    <row r="166" spans="1:13" x14ac:dyDescent="0.25">
      <c r="A166" s="164">
        <v>38169</v>
      </c>
      <c r="B166" s="200">
        <v>309.55</v>
      </c>
      <c r="C166" s="200"/>
      <c r="D166" s="200"/>
      <c r="E166" s="200">
        <v>254.5</v>
      </c>
      <c r="F166" s="200"/>
      <c r="G166" s="200"/>
      <c r="H166" s="200">
        <v>423.3</v>
      </c>
      <c r="I166" s="200"/>
      <c r="J166" s="200"/>
      <c r="K166" s="200">
        <v>146.94</v>
      </c>
      <c r="L166" s="200"/>
      <c r="M166" s="200"/>
    </row>
    <row r="167" spans="1:13" x14ac:dyDescent="0.25">
      <c r="A167" s="164">
        <v>38139</v>
      </c>
      <c r="B167" s="200">
        <v>350.62</v>
      </c>
      <c r="C167" s="200"/>
      <c r="D167" s="200"/>
      <c r="E167" s="200">
        <v>385.6</v>
      </c>
      <c r="F167" s="200"/>
      <c r="G167" s="200"/>
      <c r="H167" s="200">
        <v>237.3</v>
      </c>
      <c r="I167" s="200"/>
      <c r="J167" s="200"/>
      <c r="K167" s="200">
        <v>214.15</v>
      </c>
      <c r="L167" s="200"/>
      <c r="M167" s="200"/>
    </row>
    <row r="168" spans="1:13" x14ac:dyDescent="0.25">
      <c r="A168" s="164">
        <v>38108</v>
      </c>
      <c r="B168" s="200">
        <v>273</v>
      </c>
      <c r="C168" s="200"/>
      <c r="D168" s="200"/>
      <c r="E168" s="200">
        <v>285.55</v>
      </c>
      <c r="F168" s="200"/>
      <c r="G168" s="200"/>
      <c r="H168" s="200">
        <v>390.1</v>
      </c>
      <c r="I168" s="200"/>
      <c r="J168" s="200"/>
      <c r="K168" s="200">
        <v>244.9</v>
      </c>
      <c r="L168" s="200"/>
      <c r="M168" s="200"/>
    </row>
    <row r="169" spans="1:13" x14ac:dyDescent="0.25">
      <c r="A169" s="164">
        <v>38078</v>
      </c>
      <c r="B169" s="200">
        <v>195.14</v>
      </c>
      <c r="C169" s="200"/>
      <c r="D169" s="200"/>
      <c r="E169" s="200">
        <v>123.2</v>
      </c>
      <c r="F169" s="200"/>
      <c r="G169" s="200"/>
      <c r="H169" s="200">
        <v>376.8</v>
      </c>
      <c r="I169" s="200"/>
      <c r="J169" s="200"/>
      <c r="K169" s="200">
        <v>195.53</v>
      </c>
      <c r="L169" s="200"/>
      <c r="M169" s="200"/>
    </row>
    <row r="170" spans="1:13" x14ac:dyDescent="0.25">
      <c r="A170" s="164">
        <v>38047</v>
      </c>
      <c r="B170" s="200">
        <v>38.799999999999997</v>
      </c>
      <c r="C170" s="200"/>
      <c r="D170" s="200"/>
      <c r="E170" s="200">
        <v>20</v>
      </c>
      <c r="F170" s="200"/>
      <c r="G170" s="200"/>
      <c r="H170" s="200">
        <v>87.8</v>
      </c>
      <c r="I170" s="200"/>
      <c r="J170" s="200"/>
      <c r="K170" s="200">
        <v>44.97</v>
      </c>
      <c r="L170" s="200"/>
      <c r="M170" s="200"/>
    </row>
    <row r="171" spans="1:13" x14ac:dyDescent="0.25">
      <c r="A171" s="164">
        <v>38018</v>
      </c>
      <c r="B171" s="200">
        <v>91.3</v>
      </c>
      <c r="C171" s="200"/>
      <c r="D171" s="200"/>
      <c r="E171" s="200">
        <v>84.25</v>
      </c>
      <c r="F171" s="200"/>
      <c r="G171" s="200"/>
      <c r="H171" s="200">
        <v>141.1</v>
      </c>
      <c r="I171" s="200"/>
      <c r="J171" s="200"/>
      <c r="K171" s="200">
        <v>82.06</v>
      </c>
      <c r="L171" s="200"/>
      <c r="M171" s="200"/>
    </row>
    <row r="172" spans="1:13" x14ac:dyDescent="0.25">
      <c r="A172" s="164">
        <v>37987</v>
      </c>
      <c r="B172" s="200">
        <v>90.2</v>
      </c>
      <c r="C172" s="200"/>
      <c r="D172" s="200"/>
      <c r="E172" s="200">
        <v>99.9</v>
      </c>
      <c r="F172" s="200"/>
      <c r="G172" s="200"/>
      <c r="H172" s="200">
        <v>128.30000000000001</v>
      </c>
      <c r="I172" s="200"/>
      <c r="J172" s="200"/>
      <c r="K172" s="200">
        <v>100.1</v>
      </c>
      <c r="L172" s="200"/>
      <c r="M172" s="200"/>
    </row>
    <row r="173" spans="1:13" x14ac:dyDescent="0.25">
      <c r="A173" s="164">
        <v>37956</v>
      </c>
      <c r="B173" s="200">
        <v>306.89999999999998</v>
      </c>
      <c r="C173" s="200"/>
      <c r="D173" s="200"/>
      <c r="E173" s="200">
        <v>354.6</v>
      </c>
      <c r="F173" s="200"/>
      <c r="G173" s="200"/>
      <c r="H173" s="200">
        <v>444.7</v>
      </c>
      <c r="I173" s="200"/>
      <c r="J173" s="200"/>
      <c r="K173" s="200">
        <v>400.16</v>
      </c>
      <c r="L173" s="200"/>
      <c r="M173" s="200"/>
    </row>
    <row r="174" spans="1:13" x14ac:dyDescent="0.25">
      <c r="A174" s="164">
        <v>37926</v>
      </c>
      <c r="B174" s="200">
        <v>287.3</v>
      </c>
      <c r="C174" s="200"/>
      <c r="D174" s="200"/>
      <c r="E174" s="200">
        <v>304</v>
      </c>
      <c r="F174" s="200"/>
      <c r="G174" s="200"/>
      <c r="H174" s="200">
        <v>458</v>
      </c>
      <c r="I174" s="200"/>
      <c r="J174" s="200"/>
      <c r="K174" s="200">
        <v>519.4</v>
      </c>
      <c r="L174" s="200"/>
      <c r="M174" s="200"/>
    </row>
    <row r="175" spans="1:13" x14ac:dyDescent="0.25">
      <c r="A175" s="164">
        <v>37895</v>
      </c>
      <c r="B175" s="200">
        <v>108.6</v>
      </c>
      <c r="C175" s="200"/>
      <c r="D175" s="200"/>
      <c r="E175" s="200">
        <v>60.6</v>
      </c>
      <c r="F175" s="200"/>
      <c r="G175" s="200"/>
      <c r="H175" s="200">
        <v>153.5</v>
      </c>
      <c r="I175" s="200"/>
      <c r="J175" s="200"/>
      <c r="K175" s="200">
        <v>145</v>
      </c>
      <c r="L175" s="200"/>
      <c r="M175" s="200"/>
    </row>
    <row r="176" spans="1:13" x14ac:dyDescent="0.25">
      <c r="A176" s="164">
        <v>37865</v>
      </c>
      <c r="B176" s="200">
        <v>120.9</v>
      </c>
      <c r="C176" s="200"/>
      <c r="D176" s="200"/>
      <c r="E176" s="200">
        <v>168.1</v>
      </c>
      <c r="F176" s="200"/>
      <c r="G176" s="200"/>
      <c r="H176" s="200">
        <v>215.3</v>
      </c>
      <c r="I176" s="200"/>
      <c r="J176" s="200"/>
      <c r="K176" s="200">
        <v>201.78</v>
      </c>
      <c r="L176" s="200"/>
      <c r="M176" s="200"/>
    </row>
    <row r="177" spans="1:13" x14ac:dyDescent="0.25">
      <c r="A177" s="164">
        <v>37834</v>
      </c>
      <c r="B177" s="200">
        <v>147.4</v>
      </c>
      <c r="C177" s="200"/>
      <c r="D177" s="200"/>
      <c r="E177" s="200">
        <v>186.31</v>
      </c>
      <c r="F177" s="200"/>
      <c r="G177" s="200"/>
      <c r="H177" s="200">
        <v>351.6</v>
      </c>
      <c r="I177" s="200"/>
      <c r="J177" s="200"/>
      <c r="K177" s="200">
        <v>201.9</v>
      </c>
      <c r="L177" s="200"/>
      <c r="M177" s="200"/>
    </row>
    <row r="178" spans="1:13" x14ac:dyDescent="0.25">
      <c r="A178" s="164">
        <v>37803</v>
      </c>
      <c r="B178" s="200">
        <v>285.2</v>
      </c>
      <c r="C178" s="200"/>
      <c r="D178" s="200"/>
      <c r="E178" s="200">
        <v>317.5</v>
      </c>
      <c r="F178" s="200"/>
      <c r="G178" s="200"/>
      <c r="H178" s="200">
        <v>376</v>
      </c>
      <c r="I178" s="200"/>
      <c r="J178" s="200"/>
      <c r="K178" s="200">
        <v>239.78</v>
      </c>
      <c r="L178" s="200"/>
      <c r="M178" s="200"/>
    </row>
    <row r="179" spans="1:13" x14ac:dyDescent="0.25">
      <c r="A179" s="164">
        <v>37773</v>
      </c>
      <c r="B179" s="200">
        <v>298.89999999999998</v>
      </c>
      <c r="C179" s="200"/>
      <c r="D179" s="200"/>
      <c r="E179" s="200">
        <v>293.35000000000002</v>
      </c>
      <c r="F179" s="200"/>
      <c r="G179" s="200"/>
      <c r="H179" s="200">
        <v>416.6</v>
      </c>
      <c r="I179" s="200"/>
      <c r="J179" s="200"/>
      <c r="K179" s="200">
        <v>305.89999999999998</v>
      </c>
      <c r="L179" s="200"/>
      <c r="M179" s="200"/>
    </row>
    <row r="180" spans="1:13" x14ac:dyDescent="0.25">
      <c r="A180" s="164">
        <v>37742</v>
      </c>
      <c r="B180" s="200">
        <v>97.47</v>
      </c>
      <c r="C180" s="200"/>
      <c r="D180" s="200"/>
      <c r="E180" s="200">
        <v>107.05</v>
      </c>
      <c r="F180" s="200"/>
      <c r="G180" s="200"/>
      <c r="H180" s="200">
        <v>92.5</v>
      </c>
      <c r="I180" s="200"/>
      <c r="J180" s="200"/>
      <c r="K180" s="200">
        <v>118.6</v>
      </c>
      <c r="L180" s="200"/>
      <c r="M180" s="200"/>
    </row>
    <row r="181" spans="1:13" x14ac:dyDescent="0.25">
      <c r="A181" s="164">
        <v>37712</v>
      </c>
      <c r="B181" s="200">
        <v>4.5999999999999996</v>
      </c>
      <c r="C181" s="200"/>
      <c r="D181" s="200"/>
      <c r="E181" s="200">
        <v>23.4</v>
      </c>
      <c r="F181" s="200"/>
      <c r="G181" s="200"/>
      <c r="H181" s="200">
        <v>16.600000000000001</v>
      </c>
      <c r="I181" s="200"/>
      <c r="J181" s="200"/>
      <c r="K181" s="200">
        <v>17.03</v>
      </c>
      <c r="L181" s="200"/>
      <c r="M181" s="200"/>
    </row>
    <row r="182" spans="1:13" x14ac:dyDescent="0.25">
      <c r="A182" s="164">
        <v>37681</v>
      </c>
      <c r="B182" s="200">
        <v>13</v>
      </c>
      <c r="C182" s="200"/>
      <c r="D182" s="200"/>
      <c r="E182" s="200">
        <v>7.8</v>
      </c>
      <c r="F182" s="200"/>
      <c r="G182" s="200"/>
      <c r="H182" s="200">
        <v>1.3633333333333335</v>
      </c>
      <c r="I182" s="200"/>
      <c r="J182" s="200"/>
      <c r="K182" s="200">
        <v>9.26</v>
      </c>
      <c r="L182" s="200"/>
      <c r="M182" s="200"/>
    </row>
    <row r="183" spans="1:13" x14ac:dyDescent="0.25">
      <c r="A183" s="164">
        <v>37653</v>
      </c>
      <c r="B183" s="200">
        <v>49.9</v>
      </c>
      <c r="C183" s="200"/>
      <c r="D183" s="200"/>
      <c r="E183" s="200">
        <v>57.3</v>
      </c>
      <c r="F183" s="200"/>
      <c r="G183" s="200"/>
      <c r="H183" s="200">
        <v>89.37</v>
      </c>
      <c r="I183" s="200"/>
      <c r="J183" s="200"/>
      <c r="K183" s="200">
        <v>30.91</v>
      </c>
      <c r="L183" s="200"/>
      <c r="M183" s="200"/>
    </row>
    <row r="184" spans="1:13" x14ac:dyDescent="0.25">
      <c r="A184" s="164">
        <v>37622</v>
      </c>
      <c r="B184" s="200">
        <v>30.75</v>
      </c>
      <c r="C184" s="200"/>
      <c r="D184" s="200"/>
      <c r="E184" s="200">
        <v>31.2</v>
      </c>
      <c r="F184" s="200"/>
      <c r="G184" s="200"/>
      <c r="H184" s="200">
        <v>76.7</v>
      </c>
      <c r="I184" s="200"/>
      <c r="J184" s="200"/>
      <c r="K184" s="200">
        <v>67.2</v>
      </c>
      <c r="L184" s="200"/>
      <c r="M184" s="200"/>
    </row>
    <row r="185" spans="1:13" x14ac:dyDescent="0.25">
      <c r="A185" s="164">
        <v>37591</v>
      </c>
      <c r="B185" s="200">
        <v>112.55</v>
      </c>
      <c r="C185" s="200"/>
      <c r="D185" s="200"/>
      <c r="E185" s="200">
        <v>93.7</v>
      </c>
      <c r="F185" s="200"/>
      <c r="G185" s="200"/>
      <c r="H185" s="200">
        <v>100.55</v>
      </c>
      <c r="I185" s="200"/>
      <c r="J185" s="200"/>
      <c r="K185" s="200">
        <v>57.31</v>
      </c>
      <c r="L185" s="200"/>
      <c r="M185" s="200"/>
    </row>
    <row r="186" spans="1:13" x14ac:dyDescent="0.25">
      <c r="A186" s="164">
        <v>37561</v>
      </c>
      <c r="B186" s="200">
        <v>445</v>
      </c>
      <c r="C186" s="200"/>
      <c r="D186" s="200"/>
      <c r="E186" s="200">
        <v>367.84</v>
      </c>
      <c r="F186" s="200"/>
      <c r="G186" s="200"/>
      <c r="H186" s="200">
        <v>465.6</v>
      </c>
      <c r="I186" s="200"/>
      <c r="J186" s="200"/>
      <c r="K186" s="200">
        <v>435.74</v>
      </c>
      <c r="L186" s="200"/>
      <c r="M186" s="200"/>
    </row>
    <row r="187" spans="1:13" x14ac:dyDescent="0.25">
      <c r="A187" s="164">
        <v>37530</v>
      </c>
      <c r="B187" s="200">
        <v>248.7</v>
      </c>
      <c r="C187" s="200"/>
      <c r="D187" s="200"/>
      <c r="E187" s="200">
        <v>206.7</v>
      </c>
      <c r="F187" s="200"/>
      <c r="G187" s="200"/>
      <c r="H187" s="200">
        <v>357</v>
      </c>
      <c r="I187" s="200"/>
      <c r="J187" s="200"/>
      <c r="K187" s="200">
        <v>269</v>
      </c>
      <c r="L187" s="200"/>
      <c r="M187" s="200"/>
    </row>
    <row r="188" spans="1:13" x14ac:dyDescent="0.25">
      <c r="A188" s="164">
        <v>37500</v>
      </c>
      <c r="B188" s="200">
        <v>112.5</v>
      </c>
      <c r="C188" s="200"/>
      <c r="D188" s="200"/>
      <c r="E188" s="200">
        <v>156.19999999999999</v>
      </c>
      <c r="F188" s="200"/>
      <c r="G188" s="200"/>
      <c r="H188" s="200">
        <v>257.89999999999998</v>
      </c>
      <c r="I188" s="200"/>
      <c r="J188" s="200"/>
      <c r="K188" s="200">
        <v>250.11</v>
      </c>
      <c r="L188" s="200"/>
      <c r="M188" s="200"/>
    </row>
    <row r="189" spans="1:13" x14ac:dyDescent="0.25">
      <c r="A189" s="164">
        <v>37469</v>
      </c>
      <c r="B189" s="200">
        <v>194.9</v>
      </c>
      <c r="C189" s="200"/>
      <c r="D189" s="200"/>
      <c r="E189" s="200">
        <v>176</v>
      </c>
      <c r="F189" s="200"/>
      <c r="G189" s="200"/>
      <c r="H189" s="200">
        <v>499</v>
      </c>
      <c r="I189" s="200"/>
      <c r="J189" s="200"/>
      <c r="K189" s="200">
        <v>243.49</v>
      </c>
      <c r="L189" s="200"/>
      <c r="M189" s="200"/>
    </row>
    <row r="190" spans="1:13" x14ac:dyDescent="0.25">
      <c r="A190" s="164">
        <v>37438</v>
      </c>
      <c r="B190" s="200">
        <v>330</v>
      </c>
      <c r="C190" s="200"/>
      <c r="D190" s="200"/>
      <c r="E190" s="200">
        <v>304.89999999999998</v>
      </c>
      <c r="F190" s="200"/>
      <c r="G190" s="200"/>
      <c r="H190" s="200">
        <v>433.1</v>
      </c>
      <c r="I190" s="200"/>
      <c r="J190" s="200"/>
      <c r="K190" s="200">
        <v>187.73</v>
      </c>
      <c r="L190" s="200"/>
      <c r="M190" s="200"/>
    </row>
    <row r="191" spans="1:13" x14ac:dyDescent="0.25">
      <c r="A191" s="164">
        <v>37408</v>
      </c>
      <c r="B191" s="200">
        <v>278</v>
      </c>
      <c r="C191" s="200"/>
      <c r="D191" s="200"/>
      <c r="E191" s="200">
        <v>304.10000000000002</v>
      </c>
      <c r="F191" s="200"/>
      <c r="G191" s="200"/>
      <c r="H191" s="200">
        <v>382.7</v>
      </c>
      <c r="I191" s="200"/>
      <c r="J191" s="200"/>
      <c r="K191" s="200">
        <v>173.26</v>
      </c>
      <c r="L191" s="200"/>
      <c r="M191" s="200"/>
    </row>
    <row r="192" spans="1:13" x14ac:dyDescent="0.25">
      <c r="A192" s="164">
        <v>37377</v>
      </c>
      <c r="B192" s="200">
        <v>171</v>
      </c>
      <c r="C192" s="200"/>
      <c r="D192" s="200"/>
      <c r="E192" s="200">
        <v>195.3</v>
      </c>
      <c r="F192" s="200"/>
      <c r="G192" s="200"/>
      <c r="H192" s="200">
        <v>179</v>
      </c>
      <c r="I192" s="200"/>
      <c r="J192" s="200"/>
      <c r="K192" s="200">
        <v>85</v>
      </c>
      <c r="L192" s="200"/>
      <c r="M192" s="200"/>
    </row>
    <row r="193" spans="1:13" x14ac:dyDescent="0.25">
      <c r="A193" s="164">
        <v>37347</v>
      </c>
      <c r="B193" s="200">
        <v>200.2</v>
      </c>
      <c r="C193" s="200"/>
      <c r="D193" s="200"/>
      <c r="E193" s="200">
        <v>175.5</v>
      </c>
      <c r="F193" s="200"/>
      <c r="G193" s="200"/>
      <c r="H193" s="200">
        <v>292.39999999999998</v>
      </c>
      <c r="I193" s="200"/>
      <c r="J193" s="200"/>
      <c r="K193" s="200">
        <v>103</v>
      </c>
      <c r="L193" s="200"/>
      <c r="M193" s="200"/>
    </row>
    <row r="194" spans="1:13" x14ac:dyDescent="0.25">
      <c r="A194" s="164">
        <v>37316</v>
      </c>
      <c r="B194" s="200">
        <v>111.3</v>
      </c>
      <c r="C194" s="200"/>
      <c r="D194" s="200"/>
      <c r="E194" s="200">
        <v>148.82</v>
      </c>
      <c r="F194" s="200"/>
      <c r="G194" s="200"/>
      <c r="H194" s="200">
        <v>155.6</v>
      </c>
      <c r="I194" s="200"/>
      <c r="J194" s="200"/>
      <c r="K194" s="200">
        <v>134.24</v>
      </c>
      <c r="L194" s="200"/>
      <c r="M194" s="200"/>
    </row>
    <row r="195" spans="1:13" x14ac:dyDescent="0.25">
      <c r="A195" s="164">
        <v>37288</v>
      </c>
      <c r="B195" s="200">
        <v>46.2</v>
      </c>
      <c r="C195" s="200"/>
      <c r="D195" s="200"/>
      <c r="E195" s="200">
        <v>30.6</v>
      </c>
      <c r="F195" s="200"/>
      <c r="G195" s="200"/>
      <c r="H195" s="200">
        <v>44.7</v>
      </c>
      <c r="I195" s="200"/>
      <c r="J195" s="200"/>
      <c r="K195" s="200">
        <v>53.01</v>
      </c>
      <c r="L195" s="200"/>
      <c r="M195" s="200"/>
    </row>
    <row r="196" spans="1:13" x14ac:dyDescent="0.25">
      <c r="A196" s="164">
        <v>37257</v>
      </c>
      <c r="B196" s="200">
        <v>254.44</v>
      </c>
      <c r="C196" s="200"/>
      <c r="D196" s="200"/>
      <c r="E196" s="200">
        <v>286.39999999999998</v>
      </c>
      <c r="F196" s="200"/>
      <c r="G196" s="200"/>
      <c r="H196" s="200">
        <v>236</v>
      </c>
      <c r="I196" s="200"/>
      <c r="J196" s="200"/>
      <c r="K196" s="200">
        <v>219.4</v>
      </c>
      <c r="L196" s="200"/>
      <c r="M196" s="200"/>
    </row>
    <row r="197" spans="1:13" x14ac:dyDescent="0.25">
      <c r="A197" s="164">
        <v>37226</v>
      </c>
      <c r="B197" s="200">
        <v>385.2</v>
      </c>
      <c r="C197" s="200"/>
      <c r="D197" s="200"/>
      <c r="E197" s="200">
        <v>255.85</v>
      </c>
      <c r="F197" s="200"/>
      <c r="G197" s="200"/>
      <c r="H197" s="200">
        <v>599.20000000000005</v>
      </c>
      <c r="I197" s="200"/>
      <c r="J197" s="200"/>
      <c r="K197" s="200">
        <v>485.5</v>
      </c>
      <c r="L197" s="200"/>
      <c r="M197" s="200"/>
    </row>
    <row r="198" spans="1:13" x14ac:dyDescent="0.25">
      <c r="A198" s="164">
        <v>37196</v>
      </c>
      <c r="B198" s="200">
        <v>262.89999999999998</v>
      </c>
      <c r="C198" s="200"/>
      <c r="D198" s="200"/>
      <c r="E198" s="200">
        <v>107.1</v>
      </c>
      <c r="F198" s="200"/>
      <c r="G198" s="200"/>
      <c r="H198" s="200">
        <v>255.4</v>
      </c>
      <c r="I198" s="200"/>
      <c r="J198" s="200"/>
      <c r="K198" s="200">
        <v>158.85</v>
      </c>
      <c r="L198" s="200"/>
      <c r="M198" s="200"/>
    </row>
    <row r="199" spans="1:13" x14ac:dyDescent="0.25">
      <c r="A199" s="164">
        <v>37165</v>
      </c>
      <c r="B199" s="200">
        <v>145.22</v>
      </c>
      <c r="C199" s="200"/>
      <c r="D199" s="200"/>
      <c r="E199" s="200">
        <v>122.2</v>
      </c>
      <c r="F199" s="200"/>
      <c r="G199" s="200"/>
      <c r="H199" s="200">
        <v>203.6</v>
      </c>
      <c r="I199" s="200"/>
      <c r="J199" s="200"/>
      <c r="K199" s="200">
        <v>237.46</v>
      </c>
      <c r="L199" s="200"/>
      <c r="M199" s="200"/>
    </row>
    <row r="200" spans="1:13" x14ac:dyDescent="0.25">
      <c r="A200" s="164">
        <v>37135</v>
      </c>
      <c r="B200" s="200">
        <v>216.8</v>
      </c>
      <c r="C200" s="200"/>
      <c r="D200" s="200"/>
      <c r="E200" s="200">
        <v>264.5</v>
      </c>
      <c r="F200" s="200"/>
      <c r="G200" s="200"/>
      <c r="H200" s="200">
        <v>218.2</v>
      </c>
      <c r="I200" s="200"/>
      <c r="J200" s="200"/>
      <c r="K200" s="200">
        <v>189.85</v>
      </c>
      <c r="L200" s="200"/>
      <c r="M200" s="200"/>
    </row>
    <row r="201" spans="1:13" x14ac:dyDescent="0.25">
      <c r="A201" s="164">
        <v>37104</v>
      </c>
      <c r="B201" s="200">
        <v>249.5</v>
      </c>
      <c r="C201" s="200"/>
      <c r="D201" s="200"/>
      <c r="E201" s="200">
        <v>187.75</v>
      </c>
      <c r="F201" s="200"/>
      <c r="G201" s="200"/>
      <c r="H201" s="200">
        <v>327.5</v>
      </c>
      <c r="I201" s="200"/>
      <c r="J201" s="200"/>
      <c r="K201" s="200">
        <v>432.36</v>
      </c>
      <c r="L201" s="200"/>
      <c r="M201" s="200"/>
    </row>
    <row r="202" spans="1:13" x14ac:dyDescent="0.25">
      <c r="A202" s="164">
        <v>37073</v>
      </c>
      <c r="B202" s="200">
        <v>262.33</v>
      </c>
      <c r="C202" s="200"/>
      <c r="D202" s="200"/>
      <c r="E202" s="200">
        <v>213</v>
      </c>
      <c r="F202" s="200"/>
      <c r="G202" s="200"/>
      <c r="H202" s="200">
        <v>198.3</v>
      </c>
      <c r="I202" s="200"/>
      <c r="J202" s="200"/>
      <c r="K202" s="200">
        <v>137.29</v>
      </c>
      <c r="L202" s="200"/>
      <c r="M202" s="200"/>
    </row>
    <row r="203" spans="1:13" x14ac:dyDescent="0.25">
      <c r="A203" s="164">
        <v>37043</v>
      </c>
      <c r="B203" s="200">
        <v>225.97</v>
      </c>
      <c r="C203" s="200"/>
      <c r="D203" s="200"/>
      <c r="E203" s="200">
        <v>198.3</v>
      </c>
      <c r="F203" s="200"/>
      <c r="G203" s="200"/>
      <c r="H203" s="200">
        <v>268.10000000000002</v>
      </c>
      <c r="I203" s="200"/>
      <c r="J203" s="200"/>
      <c r="K203" s="200">
        <v>140.6</v>
      </c>
      <c r="L203" s="200"/>
      <c r="M203" s="200"/>
    </row>
    <row r="204" spans="1:13" x14ac:dyDescent="0.25">
      <c r="A204" s="164">
        <v>37012</v>
      </c>
      <c r="B204" s="200">
        <v>73.5</v>
      </c>
      <c r="C204" s="200"/>
      <c r="D204" s="200"/>
      <c r="E204" s="200">
        <v>47.75</v>
      </c>
      <c r="F204" s="200"/>
      <c r="G204" s="200"/>
      <c r="H204" s="200">
        <v>101.4</v>
      </c>
      <c r="I204" s="200"/>
      <c r="J204" s="200"/>
      <c r="K204" s="200">
        <v>92.98</v>
      </c>
      <c r="L204" s="200"/>
      <c r="M204" s="200"/>
    </row>
    <row r="205" spans="1:13" x14ac:dyDescent="0.25">
      <c r="A205" s="164">
        <v>36982</v>
      </c>
      <c r="B205" s="200">
        <v>20.8</v>
      </c>
      <c r="C205" s="200"/>
      <c r="D205" s="200"/>
      <c r="E205" s="200">
        <v>33.5</v>
      </c>
      <c r="F205" s="200"/>
      <c r="G205" s="200"/>
      <c r="H205" s="200">
        <v>35.5</v>
      </c>
      <c r="I205" s="200"/>
      <c r="J205" s="200"/>
      <c r="K205" s="200">
        <v>21.77</v>
      </c>
      <c r="L205" s="200"/>
      <c r="M205" s="200"/>
    </row>
    <row r="206" spans="1:13" x14ac:dyDescent="0.25">
      <c r="A206" s="164">
        <v>36951</v>
      </c>
      <c r="B206" s="200">
        <v>16.600000000000001</v>
      </c>
      <c r="C206" s="200"/>
      <c r="D206" s="200"/>
      <c r="E206" s="200">
        <v>1.1100000000000001</v>
      </c>
      <c r="F206" s="200"/>
      <c r="G206" s="200"/>
      <c r="H206" s="200">
        <v>5.3</v>
      </c>
      <c r="I206" s="200"/>
      <c r="J206" s="200"/>
      <c r="K206" s="200">
        <v>16.899999999999999</v>
      </c>
      <c r="L206" s="200"/>
      <c r="M206" s="200"/>
    </row>
    <row r="207" spans="1:13" x14ac:dyDescent="0.25">
      <c r="A207" s="164">
        <v>36923</v>
      </c>
      <c r="B207" s="200">
        <v>63.4</v>
      </c>
      <c r="C207" s="200"/>
      <c r="D207" s="200"/>
      <c r="E207" s="200">
        <v>84.6</v>
      </c>
      <c r="F207" s="200"/>
      <c r="G207" s="200"/>
      <c r="H207" s="200">
        <v>55</v>
      </c>
      <c r="I207" s="200"/>
      <c r="J207" s="200"/>
      <c r="K207" s="200">
        <v>44.57</v>
      </c>
      <c r="L207" s="200"/>
      <c r="M207" s="200"/>
    </row>
    <row r="208" spans="1:13" x14ac:dyDescent="0.25">
      <c r="A208" s="164">
        <v>36892</v>
      </c>
      <c r="B208" s="200">
        <v>27.3</v>
      </c>
      <c r="C208" s="200"/>
      <c r="D208" s="200"/>
      <c r="E208" s="200">
        <v>48.8</v>
      </c>
      <c r="F208" s="200"/>
      <c r="G208" s="200"/>
      <c r="H208" s="200">
        <v>44.3</v>
      </c>
      <c r="I208" s="200"/>
      <c r="J208" s="200"/>
      <c r="K208" s="200">
        <v>44.3</v>
      </c>
      <c r="L208" s="200"/>
      <c r="M208" s="200"/>
    </row>
    <row r="209" spans="1:13" x14ac:dyDescent="0.25">
      <c r="A209" s="164">
        <v>36861</v>
      </c>
      <c r="B209" s="200">
        <v>129.68</v>
      </c>
      <c r="C209" s="200"/>
      <c r="D209" s="200"/>
      <c r="E209" s="200">
        <v>452.2</v>
      </c>
      <c r="F209" s="200"/>
      <c r="G209" s="200"/>
      <c r="H209" s="200">
        <v>130.19999999999999</v>
      </c>
      <c r="I209" s="200"/>
      <c r="J209" s="200"/>
      <c r="K209" s="200">
        <v>71.98</v>
      </c>
      <c r="L209" s="200"/>
      <c r="M209" s="200"/>
    </row>
    <row r="210" spans="1:13" x14ac:dyDescent="0.25">
      <c r="A210" s="164">
        <v>36831</v>
      </c>
      <c r="B210" s="200">
        <v>489.6</v>
      </c>
      <c r="C210" s="200"/>
      <c r="D210" s="200"/>
      <c r="E210" s="200">
        <v>604.5</v>
      </c>
      <c r="F210" s="200"/>
      <c r="G210" s="200"/>
      <c r="H210" s="200">
        <v>495.52</v>
      </c>
      <c r="I210" s="200"/>
      <c r="J210" s="200"/>
      <c r="K210" s="200">
        <v>445.49</v>
      </c>
      <c r="L210" s="200"/>
      <c r="M210" s="200"/>
    </row>
    <row r="211" spans="1:13" x14ac:dyDescent="0.25">
      <c r="A211" s="164">
        <v>36800</v>
      </c>
      <c r="B211" s="200">
        <v>321.7</v>
      </c>
      <c r="C211" s="200"/>
      <c r="D211" s="200"/>
      <c r="E211" s="200">
        <v>418.8</v>
      </c>
      <c r="F211" s="200"/>
      <c r="G211" s="200"/>
      <c r="H211" s="200">
        <v>287.3</v>
      </c>
      <c r="I211" s="200"/>
      <c r="J211" s="200"/>
      <c r="K211" s="200">
        <v>301.62</v>
      </c>
      <c r="L211" s="200"/>
      <c r="M211" s="200"/>
    </row>
    <row r="212" spans="1:13" x14ac:dyDescent="0.25">
      <c r="A212" s="164">
        <v>36770</v>
      </c>
      <c r="B212" s="200">
        <v>145.29</v>
      </c>
      <c r="C212" s="200"/>
      <c r="D212" s="200"/>
      <c r="E212" s="200">
        <v>307</v>
      </c>
      <c r="F212" s="200"/>
      <c r="G212" s="200"/>
      <c r="H212" s="200">
        <v>283.5</v>
      </c>
      <c r="I212" s="200"/>
      <c r="J212" s="200"/>
      <c r="K212" s="200">
        <v>192.28</v>
      </c>
      <c r="L212" s="200"/>
      <c r="M212" s="200"/>
    </row>
    <row r="213" spans="1:13" x14ac:dyDescent="0.25">
      <c r="A213" s="164">
        <v>36739</v>
      </c>
      <c r="B213" s="200">
        <v>268.8</v>
      </c>
      <c r="C213" s="200"/>
      <c r="D213" s="200"/>
      <c r="E213" s="200">
        <v>264.5</v>
      </c>
      <c r="F213" s="200"/>
      <c r="G213" s="200"/>
      <c r="H213" s="200">
        <v>396.1</v>
      </c>
      <c r="I213" s="200"/>
      <c r="J213" s="200"/>
      <c r="K213" s="200">
        <v>224.65</v>
      </c>
      <c r="L213" s="200"/>
      <c r="M213" s="200"/>
    </row>
    <row r="214" spans="1:13" x14ac:dyDescent="0.25">
      <c r="A214" s="164">
        <v>36708</v>
      </c>
      <c r="B214" s="200">
        <v>235.92</v>
      </c>
      <c r="C214" s="200"/>
      <c r="D214" s="200"/>
      <c r="E214" s="200">
        <v>262.5</v>
      </c>
      <c r="F214" s="200"/>
      <c r="G214" s="200"/>
      <c r="H214" s="200">
        <v>287.8</v>
      </c>
      <c r="I214" s="200"/>
      <c r="J214" s="200"/>
      <c r="K214" s="200">
        <v>257.75</v>
      </c>
      <c r="L214" s="200"/>
      <c r="M214" s="200"/>
    </row>
    <row r="215" spans="1:13" x14ac:dyDescent="0.25">
      <c r="A215" s="164">
        <v>36678</v>
      </c>
      <c r="B215" s="200">
        <v>281.45</v>
      </c>
      <c r="C215" s="200"/>
      <c r="D215" s="200"/>
      <c r="E215" s="200">
        <v>289.12</v>
      </c>
      <c r="F215" s="200"/>
      <c r="G215" s="200"/>
      <c r="H215" s="200">
        <v>269.33999999999997</v>
      </c>
      <c r="I215" s="200"/>
      <c r="J215" s="200"/>
      <c r="K215" s="200">
        <v>227.03</v>
      </c>
      <c r="L215" s="200"/>
      <c r="M215" s="200"/>
    </row>
    <row r="216" spans="1:13" x14ac:dyDescent="0.25">
      <c r="A216" s="164">
        <v>36647</v>
      </c>
      <c r="B216" s="200">
        <v>131.80000000000001</v>
      </c>
      <c r="C216" s="200"/>
      <c r="D216" s="200"/>
      <c r="E216" s="200">
        <v>223.4</v>
      </c>
      <c r="F216" s="200"/>
      <c r="G216" s="200"/>
      <c r="H216" s="200">
        <v>182.9</v>
      </c>
      <c r="I216" s="200"/>
      <c r="J216" s="200"/>
      <c r="K216" s="200">
        <v>198.8</v>
      </c>
      <c r="L216" s="200"/>
      <c r="M216" s="200"/>
    </row>
    <row r="217" spans="1:13" x14ac:dyDescent="0.25">
      <c r="A217" s="164">
        <v>36617</v>
      </c>
      <c r="B217" s="200">
        <v>92.9</v>
      </c>
      <c r="C217" s="200"/>
      <c r="D217" s="200"/>
      <c r="E217" s="200">
        <v>145.44999999999999</v>
      </c>
      <c r="F217" s="200"/>
      <c r="G217" s="200"/>
      <c r="H217" s="200">
        <v>164.96</v>
      </c>
      <c r="I217" s="200"/>
      <c r="J217" s="200"/>
      <c r="K217" s="200">
        <v>62.48</v>
      </c>
      <c r="L217" s="200"/>
      <c r="M217" s="200"/>
    </row>
    <row r="218" spans="1:13" x14ac:dyDescent="0.25">
      <c r="A218" s="164">
        <v>36586</v>
      </c>
      <c r="B218" s="200">
        <v>47</v>
      </c>
      <c r="C218" s="200"/>
      <c r="D218" s="200"/>
      <c r="E218" s="200">
        <v>186.8</v>
      </c>
      <c r="F218" s="200"/>
      <c r="G218" s="200"/>
      <c r="H218" s="200">
        <v>97.2</v>
      </c>
      <c r="I218" s="200"/>
      <c r="J218" s="200"/>
      <c r="K218" s="200">
        <v>93.56</v>
      </c>
      <c r="L218" s="200"/>
      <c r="M218" s="200"/>
    </row>
    <row r="219" spans="1:13" x14ac:dyDescent="0.25">
      <c r="A219" s="164">
        <v>36557</v>
      </c>
      <c r="B219" s="200">
        <v>30</v>
      </c>
      <c r="C219" s="200"/>
      <c r="D219" s="200"/>
      <c r="E219" s="200">
        <v>45</v>
      </c>
      <c r="F219" s="200"/>
      <c r="G219" s="200"/>
      <c r="H219" s="200">
        <v>80.040000000000006</v>
      </c>
      <c r="I219" s="200"/>
      <c r="J219" s="200"/>
      <c r="K219" s="200">
        <v>31.79</v>
      </c>
      <c r="L219" s="200"/>
      <c r="M219" s="200"/>
    </row>
    <row r="220" spans="1:13" x14ac:dyDescent="0.25">
      <c r="A220" s="164">
        <v>36526</v>
      </c>
      <c r="B220" s="200">
        <v>89</v>
      </c>
      <c r="C220" s="200"/>
      <c r="D220" s="200"/>
      <c r="E220" s="200">
        <v>132.65</v>
      </c>
      <c r="F220" s="200"/>
      <c r="G220" s="200"/>
      <c r="H220" s="200">
        <v>174.8</v>
      </c>
      <c r="I220" s="200"/>
      <c r="J220" s="200"/>
      <c r="K220" s="200">
        <v>108.24</v>
      </c>
      <c r="L220" s="200"/>
      <c r="M220" s="200"/>
    </row>
    <row r="221" spans="1:13" x14ac:dyDescent="0.25">
      <c r="A221" s="164">
        <v>36495</v>
      </c>
      <c r="B221" s="200">
        <v>146</v>
      </c>
      <c r="C221" s="200"/>
      <c r="D221" s="200"/>
      <c r="E221" s="200">
        <v>266.5</v>
      </c>
      <c r="F221" s="200"/>
      <c r="G221" s="200"/>
      <c r="H221" s="200">
        <v>264.8</v>
      </c>
      <c r="I221" s="200"/>
      <c r="J221" s="200"/>
      <c r="K221" s="200">
        <v>446.5</v>
      </c>
      <c r="L221" s="200"/>
      <c r="M221" s="200"/>
    </row>
    <row r="222" spans="1:13" x14ac:dyDescent="0.25">
      <c r="A222" s="164">
        <v>36465</v>
      </c>
      <c r="B222" s="200">
        <v>330.5</v>
      </c>
      <c r="C222" s="200"/>
      <c r="D222" s="200"/>
      <c r="E222" s="200">
        <v>319.5</v>
      </c>
      <c r="F222" s="200"/>
      <c r="G222" s="200"/>
      <c r="H222" s="200">
        <v>357.1</v>
      </c>
      <c r="I222" s="200"/>
      <c r="J222" s="200"/>
      <c r="K222" s="200">
        <v>409.13</v>
      </c>
      <c r="L222" s="200"/>
      <c r="M222" s="200"/>
    </row>
    <row r="223" spans="1:13" x14ac:dyDescent="0.25">
      <c r="A223" s="164">
        <v>36434</v>
      </c>
      <c r="B223" s="200">
        <v>78</v>
      </c>
      <c r="C223" s="200"/>
      <c r="D223" s="200"/>
      <c r="E223" s="200">
        <v>305.25</v>
      </c>
      <c r="F223" s="200"/>
      <c r="G223" s="200"/>
      <c r="H223" s="200">
        <v>236.7</v>
      </c>
      <c r="I223" s="200"/>
      <c r="J223" s="200"/>
      <c r="K223" s="200">
        <v>320.98</v>
      </c>
      <c r="L223" s="200"/>
      <c r="M223" s="200"/>
    </row>
    <row r="224" spans="1:13" x14ac:dyDescent="0.25">
      <c r="A224" s="164">
        <v>36404</v>
      </c>
      <c r="B224" s="200">
        <v>203</v>
      </c>
      <c r="C224" s="200"/>
      <c r="D224" s="200"/>
      <c r="E224" s="200">
        <v>251</v>
      </c>
      <c r="F224" s="200"/>
      <c r="G224" s="200"/>
      <c r="H224" s="200">
        <v>281.54000000000002</v>
      </c>
      <c r="I224" s="200"/>
      <c r="J224" s="200"/>
      <c r="K224" s="200">
        <v>401.34</v>
      </c>
      <c r="L224" s="200"/>
      <c r="M224" s="200"/>
    </row>
    <row r="225" spans="1:13" x14ac:dyDescent="0.25">
      <c r="A225" s="164">
        <v>36373</v>
      </c>
      <c r="B225" s="200">
        <v>218.9</v>
      </c>
      <c r="C225" s="200"/>
      <c r="D225" s="200"/>
      <c r="E225" s="200">
        <v>308.35000000000002</v>
      </c>
      <c r="F225" s="200"/>
      <c r="G225" s="200"/>
      <c r="H225" s="200">
        <v>362.8</v>
      </c>
      <c r="I225" s="200"/>
      <c r="J225" s="200"/>
      <c r="K225" s="200">
        <v>265.7</v>
      </c>
      <c r="L225" s="200"/>
      <c r="M225" s="200"/>
    </row>
    <row r="226" spans="1:13" x14ac:dyDescent="0.25">
      <c r="A226" s="164">
        <v>36342</v>
      </c>
      <c r="B226" s="200">
        <v>106.2</v>
      </c>
      <c r="C226" s="200"/>
      <c r="D226" s="200"/>
      <c r="E226" s="200">
        <v>163.30000000000001</v>
      </c>
      <c r="F226" s="200"/>
      <c r="G226" s="200"/>
      <c r="H226" s="200">
        <v>148.19999999999999</v>
      </c>
      <c r="I226" s="200"/>
      <c r="J226" s="200"/>
      <c r="K226" s="200">
        <v>176.99</v>
      </c>
      <c r="L226" s="200"/>
      <c r="M226" s="200"/>
    </row>
    <row r="227" spans="1:13" x14ac:dyDescent="0.25">
      <c r="A227" s="164">
        <v>36312</v>
      </c>
      <c r="B227" s="200">
        <v>305.7</v>
      </c>
      <c r="C227" s="200"/>
      <c r="D227" s="200"/>
      <c r="E227" s="200">
        <v>361.7</v>
      </c>
      <c r="F227" s="200"/>
      <c r="G227" s="200"/>
      <c r="H227" s="200">
        <v>290</v>
      </c>
      <c r="I227" s="200"/>
      <c r="J227" s="200"/>
      <c r="K227" s="200">
        <v>277.07</v>
      </c>
      <c r="L227" s="200"/>
      <c r="M227" s="200"/>
    </row>
    <row r="228" spans="1:13" x14ac:dyDescent="0.25">
      <c r="A228" s="164">
        <v>36281</v>
      </c>
      <c r="B228" s="200">
        <v>8.5</v>
      </c>
      <c r="C228" s="200"/>
      <c r="D228" s="200"/>
      <c r="E228" s="200">
        <v>9.85</v>
      </c>
      <c r="F228" s="200"/>
      <c r="G228" s="200"/>
      <c r="H228" s="200">
        <v>16.899999999999999</v>
      </c>
      <c r="I228" s="200"/>
      <c r="J228" s="200"/>
      <c r="K228" s="200">
        <v>42</v>
      </c>
      <c r="L228" s="200"/>
      <c r="M228" s="200"/>
    </row>
    <row r="229" spans="1:13" x14ac:dyDescent="0.25">
      <c r="A229" s="164">
        <v>36251</v>
      </c>
      <c r="B229" s="200">
        <v>71</v>
      </c>
      <c r="C229" s="200"/>
      <c r="D229" s="200"/>
      <c r="E229" s="200">
        <v>123.2</v>
      </c>
      <c r="F229" s="200"/>
      <c r="G229" s="200"/>
      <c r="H229" s="200">
        <v>136.1</v>
      </c>
      <c r="I229" s="200"/>
      <c r="J229" s="200"/>
      <c r="K229" s="200">
        <v>112.38</v>
      </c>
      <c r="L229" s="200"/>
      <c r="M229" s="200"/>
    </row>
    <row r="230" spans="1:13" x14ac:dyDescent="0.25">
      <c r="A230" s="164">
        <v>36220</v>
      </c>
      <c r="B230" s="200">
        <v>43.5</v>
      </c>
      <c r="C230" s="200"/>
      <c r="D230" s="200"/>
      <c r="E230" s="200">
        <v>85.3</v>
      </c>
      <c r="F230" s="200"/>
      <c r="G230" s="200"/>
      <c r="H230" s="200">
        <v>215.3</v>
      </c>
      <c r="I230" s="200"/>
      <c r="J230" s="200"/>
      <c r="K230" s="200">
        <v>33.17</v>
      </c>
      <c r="L230" s="200"/>
      <c r="M230" s="200"/>
    </row>
    <row r="231" spans="1:13" x14ac:dyDescent="0.25">
      <c r="A231" s="164">
        <v>36192</v>
      </c>
      <c r="B231" s="200">
        <v>154.5</v>
      </c>
      <c r="C231" s="200"/>
      <c r="D231" s="200"/>
      <c r="E231" s="200">
        <v>35.799999999999997</v>
      </c>
      <c r="F231" s="200"/>
      <c r="G231" s="200"/>
      <c r="H231" s="200">
        <v>62</v>
      </c>
      <c r="I231" s="200"/>
      <c r="J231" s="200"/>
      <c r="K231" s="200">
        <v>68.599999999999994</v>
      </c>
      <c r="L231" s="200"/>
      <c r="M231" s="200"/>
    </row>
    <row r="232" spans="1:13" x14ac:dyDescent="0.25">
      <c r="A232" s="164">
        <v>36161</v>
      </c>
      <c r="B232" s="200">
        <v>199</v>
      </c>
      <c r="C232" s="200"/>
      <c r="D232" s="200"/>
      <c r="E232" s="200">
        <v>246.1</v>
      </c>
      <c r="F232" s="200"/>
      <c r="G232" s="200"/>
      <c r="H232" s="200">
        <v>302.60000000000002</v>
      </c>
      <c r="I232" s="200"/>
      <c r="J232" s="200"/>
      <c r="K232" s="200">
        <v>131.69999999999999</v>
      </c>
      <c r="L232" s="200"/>
      <c r="M232" s="200"/>
    </row>
    <row r="233" spans="1:13" x14ac:dyDescent="0.25">
      <c r="A233" s="164">
        <v>36130</v>
      </c>
      <c r="B233" s="200">
        <v>324</v>
      </c>
      <c r="C233" s="200"/>
      <c r="D233" s="200"/>
      <c r="E233" s="200">
        <v>346.3</v>
      </c>
      <c r="F233" s="200"/>
      <c r="G233" s="200"/>
      <c r="H233" s="200">
        <v>325.7</v>
      </c>
      <c r="I233" s="200"/>
      <c r="J233" s="200"/>
      <c r="K233" s="200">
        <v>283.38</v>
      </c>
      <c r="L233" s="200"/>
      <c r="M233" s="200"/>
    </row>
    <row r="234" spans="1:13" x14ac:dyDescent="0.25">
      <c r="A234" s="164">
        <v>36100</v>
      </c>
      <c r="B234" s="200">
        <v>251.2</v>
      </c>
      <c r="C234" s="200"/>
      <c r="D234" s="200"/>
      <c r="E234" s="200">
        <v>408.7</v>
      </c>
      <c r="F234" s="200"/>
      <c r="G234" s="200"/>
      <c r="H234" s="200">
        <v>284.7</v>
      </c>
      <c r="I234" s="200"/>
      <c r="J234" s="200"/>
      <c r="K234" s="200">
        <v>276.95999999999998</v>
      </c>
      <c r="L234" s="200"/>
      <c r="M234" s="200"/>
    </row>
    <row r="235" spans="1:13" x14ac:dyDescent="0.25">
      <c r="A235" s="164">
        <v>36069</v>
      </c>
      <c r="B235" s="200">
        <v>350.1</v>
      </c>
      <c r="C235" s="200"/>
      <c r="D235" s="200"/>
      <c r="E235" s="200">
        <v>560.9</v>
      </c>
      <c r="F235" s="200"/>
      <c r="G235" s="200"/>
      <c r="H235" s="200">
        <v>466.2</v>
      </c>
      <c r="I235" s="200"/>
      <c r="J235" s="200"/>
      <c r="K235" s="200">
        <v>349.89</v>
      </c>
      <c r="L235" s="200"/>
      <c r="M235" s="200"/>
    </row>
    <row r="236" spans="1:13" x14ac:dyDescent="0.25">
      <c r="A236" s="164">
        <v>36039</v>
      </c>
      <c r="B236" s="200">
        <v>227</v>
      </c>
      <c r="C236" s="200"/>
      <c r="D236" s="200"/>
      <c r="E236" s="200">
        <v>321.86</v>
      </c>
      <c r="F236" s="200"/>
      <c r="G236" s="200"/>
      <c r="H236" s="200">
        <v>211.71</v>
      </c>
      <c r="I236" s="200"/>
      <c r="J236" s="200"/>
      <c r="K236" s="200">
        <v>138.79</v>
      </c>
      <c r="L236" s="200"/>
      <c r="M236" s="200"/>
    </row>
    <row r="237" spans="1:13" x14ac:dyDescent="0.25">
      <c r="A237" s="164">
        <v>36008</v>
      </c>
      <c r="B237" s="200">
        <v>208.2</v>
      </c>
      <c r="C237" s="200"/>
      <c r="D237" s="200"/>
      <c r="E237" s="200">
        <v>314.05</v>
      </c>
      <c r="F237" s="200"/>
      <c r="G237" s="200"/>
      <c r="H237" s="200">
        <v>225.7</v>
      </c>
      <c r="I237" s="200"/>
      <c r="J237" s="200"/>
      <c r="K237" s="200">
        <v>116.7</v>
      </c>
      <c r="L237" s="200"/>
      <c r="M237" s="200"/>
    </row>
    <row r="238" spans="1:13" x14ac:dyDescent="0.25">
      <c r="A238" s="164">
        <v>35977</v>
      </c>
      <c r="B238" s="200">
        <v>277.39999999999998</v>
      </c>
      <c r="C238" s="200"/>
      <c r="D238" s="200"/>
      <c r="E238" s="200">
        <v>355.19</v>
      </c>
      <c r="F238" s="200"/>
      <c r="G238" s="200"/>
      <c r="H238" s="200">
        <v>255.6</v>
      </c>
      <c r="I238" s="200"/>
      <c r="J238" s="200"/>
      <c r="K238" s="200">
        <v>313.37</v>
      </c>
      <c r="L238" s="200"/>
      <c r="M238" s="200"/>
    </row>
    <row r="239" spans="1:13" x14ac:dyDescent="0.25">
      <c r="A239" s="164">
        <v>35947</v>
      </c>
      <c r="B239" s="200">
        <v>401.7</v>
      </c>
      <c r="C239" s="200"/>
      <c r="D239" s="200"/>
      <c r="E239" s="200">
        <v>506.1</v>
      </c>
      <c r="F239" s="200"/>
      <c r="G239" s="200"/>
      <c r="H239" s="200">
        <v>568.70000000000005</v>
      </c>
      <c r="I239" s="200"/>
      <c r="J239" s="200"/>
      <c r="K239" s="200">
        <v>417.18</v>
      </c>
      <c r="L239" s="200"/>
      <c r="M239" s="200"/>
    </row>
    <row r="240" spans="1:13" x14ac:dyDescent="0.25">
      <c r="A240" s="164">
        <v>35916</v>
      </c>
      <c r="B240" s="200">
        <v>254.1</v>
      </c>
      <c r="C240" s="200"/>
      <c r="D240" s="200"/>
      <c r="E240" s="200">
        <v>239.6</v>
      </c>
      <c r="F240" s="200"/>
      <c r="G240" s="200"/>
      <c r="H240" s="200">
        <v>425</v>
      </c>
      <c r="I240" s="200"/>
      <c r="J240" s="200"/>
      <c r="K240" s="200">
        <v>370.22</v>
      </c>
      <c r="L240" s="200"/>
      <c r="M240" s="200"/>
    </row>
    <row r="241" spans="1:13" x14ac:dyDescent="0.25">
      <c r="A241" s="164">
        <v>35886</v>
      </c>
      <c r="B241" s="200">
        <v>33.9</v>
      </c>
      <c r="C241" s="200"/>
      <c r="D241" s="200"/>
      <c r="E241" s="200">
        <v>36.700000000000003</v>
      </c>
      <c r="F241" s="200"/>
      <c r="G241" s="200"/>
      <c r="H241" s="200">
        <v>35.6</v>
      </c>
      <c r="I241" s="200"/>
      <c r="J241" s="200"/>
      <c r="K241" s="200">
        <v>36.590000000000003</v>
      </c>
      <c r="L241" s="200"/>
      <c r="M241" s="200"/>
    </row>
    <row r="242" spans="1:13" x14ac:dyDescent="0.25">
      <c r="A242" s="164">
        <v>35855</v>
      </c>
      <c r="B242" s="200">
        <v>24.7</v>
      </c>
      <c r="C242" s="200"/>
      <c r="D242" s="200"/>
      <c r="E242" s="200">
        <v>13.5</v>
      </c>
      <c r="F242" s="200"/>
      <c r="G242" s="200"/>
      <c r="H242" s="200">
        <v>34.700000000000003</v>
      </c>
      <c r="I242" s="200"/>
      <c r="J242" s="200"/>
      <c r="K242" s="200">
        <v>69</v>
      </c>
      <c r="L242" s="200"/>
      <c r="M242" s="200"/>
    </row>
    <row r="243" spans="1:13" x14ac:dyDescent="0.25">
      <c r="A243" s="164">
        <v>35827</v>
      </c>
      <c r="B243" s="200">
        <v>27.3</v>
      </c>
      <c r="C243" s="200"/>
      <c r="D243" s="200"/>
      <c r="E243" s="200">
        <v>58.3</v>
      </c>
      <c r="F243" s="200"/>
      <c r="G243" s="200"/>
      <c r="H243" s="200">
        <v>52.9</v>
      </c>
      <c r="I243" s="200"/>
      <c r="J243" s="200"/>
      <c r="K243" s="200">
        <v>72.8</v>
      </c>
      <c r="L243" s="200"/>
      <c r="M243" s="200"/>
    </row>
    <row r="244" spans="1:13" x14ac:dyDescent="0.25">
      <c r="A244" s="164">
        <v>35796</v>
      </c>
      <c r="B244" s="200">
        <v>40.299999999999997</v>
      </c>
      <c r="C244" s="200"/>
      <c r="D244" s="200"/>
      <c r="E244" s="200">
        <v>74.2</v>
      </c>
      <c r="F244" s="200"/>
      <c r="G244" s="200"/>
      <c r="H244" s="200">
        <v>100.8</v>
      </c>
      <c r="I244" s="200"/>
      <c r="J244" s="200"/>
      <c r="K244" s="200">
        <v>84.6</v>
      </c>
      <c r="L244" s="200"/>
      <c r="M244" s="200"/>
    </row>
    <row r="245" spans="1:13" x14ac:dyDescent="0.25">
      <c r="A245" s="164">
        <v>35765</v>
      </c>
      <c r="B245" s="200">
        <v>100</v>
      </c>
      <c r="C245" s="200"/>
      <c r="D245" s="200"/>
      <c r="E245" s="200">
        <v>89.7</v>
      </c>
      <c r="F245" s="200"/>
      <c r="G245" s="200"/>
      <c r="H245" s="200">
        <v>107.2</v>
      </c>
      <c r="I245" s="200"/>
      <c r="J245" s="200"/>
      <c r="K245" s="200">
        <v>17.5</v>
      </c>
      <c r="L245" s="200"/>
      <c r="M245" s="200"/>
    </row>
    <row r="246" spans="1:13" x14ac:dyDescent="0.25">
      <c r="A246" s="164">
        <v>35735</v>
      </c>
      <c r="B246" s="200">
        <v>318.54000000000002</v>
      </c>
      <c r="C246" s="200"/>
      <c r="D246" s="200"/>
      <c r="E246" s="200">
        <v>280.10000000000002</v>
      </c>
      <c r="F246" s="200"/>
      <c r="G246" s="200"/>
      <c r="H246" s="200">
        <v>399.9</v>
      </c>
      <c r="I246" s="200"/>
      <c r="J246" s="200"/>
      <c r="K246" s="200">
        <v>332.6</v>
      </c>
      <c r="L246" s="200"/>
      <c r="M246" s="200"/>
    </row>
    <row r="247" spans="1:13" x14ac:dyDescent="0.25">
      <c r="A247" s="164">
        <v>35704</v>
      </c>
      <c r="B247" s="200">
        <v>171.6</v>
      </c>
      <c r="C247" s="200"/>
      <c r="D247" s="200"/>
      <c r="E247" s="200">
        <v>121.5</v>
      </c>
      <c r="F247" s="200"/>
      <c r="G247" s="200"/>
      <c r="H247" s="200">
        <v>157.30000000000001</v>
      </c>
      <c r="I247" s="200"/>
      <c r="J247" s="200"/>
      <c r="K247" s="200">
        <v>179.84</v>
      </c>
      <c r="L247" s="200"/>
      <c r="M247" s="200"/>
    </row>
    <row r="248" spans="1:13" x14ac:dyDescent="0.25">
      <c r="A248" s="164">
        <v>35674</v>
      </c>
      <c r="B248" s="200">
        <v>247.7</v>
      </c>
      <c r="C248" s="200"/>
      <c r="D248" s="200"/>
      <c r="E248" s="200">
        <v>195.5</v>
      </c>
      <c r="F248" s="200"/>
      <c r="G248" s="200"/>
      <c r="H248" s="200">
        <v>379.4</v>
      </c>
      <c r="I248" s="200"/>
      <c r="J248" s="200"/>
      <c r="K248" s="200">
        <v>203.7</v>
      </c>
      <c r="L248" s="200"/>
      <c r="M248" s="200"/>
    </row>
    <row r="249" spans="1:13" x14ac:dyDescent="0.25">
      <c r="A249" s="164">
        <v>35643</v>
      </c>
      <c r="B249" s="200">
        <v>227.1</v>
      </c>
      <c r="C249" s="200"/>
      <c r="D249" s="200"/>
      <c r="E249" s="200">
        <v>245</v>
      </c>
      <c r="F249" s="200"/>
      <c r="G249" s="200"/>
      <c r="H249" s="200">
        <v>303.10000000000002</v>
      </c>
      <c r="I249" s="200"/>
      <c r="J249" s="200"/>
      <c r="K249" s="200">
        <v>210.08</v>
      </c>
      <c r="L249" s="200"/>
      <c r="M249" s="200"/>
    </row>
    <row r="250" spans="1:13" x14ac:dyDescent="0.25">
      <c r="A250" s="164">
        <v>35612</v>
      </c>
      <c r="B250" s="200">
        <v>260.2</v>
      </c>
      <c r="C250" s="200"/>
      <c r="D250" s="200"/>
      <c r="E250" s="200">
        <v>361.5</v>
      </c>
      <c r="F250" s="200"/>
      <c r="G250" s="200"/>
      <c r="H250" s="200">
        <v>511.8</v>
      </c>
      <c r="I250" s="200"/>
      <c r="J250" s="200"/>
      <c r="K250" s="200">
        <v>257.64</v>
      </c>
      <c r="L250" s="200"/>
      <c r="M250" s="200"/>
    </row>
    <row r="251" spans="1:13" x14ac:dyDescent="0.25">
      <c r="A251" s="164">
        <v>35582</v>
      </c>
      <c r="B251" s="200">
        <v>302.60000000000002</v>
      </c>
      <c r="C251" s="200"/>
      <c r="D251" s="200"/>
      <c r="E251" s="200">
        <v>376.5</v>
      </c>
      <c r="F251" s="200"/>
      <c r="G251" s="200"/>
      <c r="H251" s="200">
        <v>359.5</v>
      </c>
      <c r="I251" s="200"/>
      <c r="J251" s="200"/>
      <c r="K251" s="200">
        <v>325.85000000000002</v>
      </c>
      <c r="L251" s="200"/>
      <c r="M251" s="200"/>
    </row>
    <row r="252" spans="1:13" x14ac:dyDescent="0.25">
      <c r="A252" s="164">
        <v>35551</v>
      </c>
      <c r="B252" s="200">
        <v>60.9</v>
      </c>
      <c r="C252" s="200"/>
      <c r="D252" s="200"/>
      <c r="E252" s="200">
        <v>125.2</v>
      </c>
      <c r="F252" s="200"/>
      <c r="G252" s="200"/>
      <c r="H252" s="200">
        <v>122.3</v>
      </c>
      <c r="I252" s="200"/>
      <c r="J252" s="200"/>
      <c r="K252" s="200">
        <v>82.43</v>
      </c>
      <c r="L252" s="200"/>
      <c r="M252" s="200"/>
    </row>
    <row r="253" spans="1:13" x14ac:dyDescent="0.25">
      <c r="A253" s="164">
        <v>35521</v>
      </c>
      <c r="B253" s="200">
        <v>61.9</v>
      </c>
      <c r="C253" s="200"/>
      <c r="D253" s="200"/>
      <c r="E253" s="200">
        <v>46.5</v>
      </c>
      <c r="F253" s="200"/>
      <c r="G253" s="200"/>
      <c r="H253" s="200">
        <v>88.25</v>
      </c>
      <c r="I253" s="200"/>
      <c r="J253" s="200"/>
      <c r="K253" s="200">
        <v>48.44</v>
      </c>
      <c r="L253" s="200"/>
      <c r="M253" s="200"/>
    </row>
    <row r="254" spans="1:13" x14ac:dyDescent="0.25">
      <c r="A254" s="164">
        <v>35490</v>
      </c>
      <c r="B254" s="200">
        <v>71.7</v>
      </c>
      <c r="C254" s="200"/>
      <c r="D254" s="200"/>
      <c r="E254" s="200">
        <v>50.5</v>
      </c>
      <c r="F254" s="200"/>
      <c r="G254" s="200"/>
      <c r="H254" s="200">
        <v>83.6</v>
      </c>
      <c r="I254" s="200"/>
      <c r="J254" s="200"/>
      <c r="K254" s="200">
        <v>61.03</v>
      </c>
      <c r="L254" s="200"/>
      <c r="M254" s="200"/>
    </row>
    <row r="255" spans="1:13" x14ac:dyDescent="0.25">
      <c r="A255" s="164">
        <v>35462</v>
      </c>
      <c r="B255" s="200">
        <v>191.83</v>
      </c>
      <c r="C255" s="200"/>
      <c r="D255" s="200"/>
      <c r="E255" s="200">
        <v>242.5</v>
      </c>
      <c r="F255" s="200"/>
      <c r="G255" s="200"/>
      <c r="H255" s="200">
        <v>185.1</v>
      </c>
      <c r="I255" s="200"/>
      <c r="J255" s="200"/>
      <c r="K255" s="200">
        <v>141.79</v>
      </c>
      <c r="L255" s="200"/>
      <c r="M255" s="200"/>
    </row>
    <row r="256" spans="1:13" x14ac:dyDescent="0.25">
      <c r="A256" s="164">
        <v>35431</v>
      </c>
      <c r="B256" s="200">
        <v>123.69</v>
      </c>
      <c r="C256" s="200"/>
      <c r="D256" s="200"/>
      <c r="E256" s="200">
        <v>207.9</v>
      </c>
      <c r="F256" s="200"/>
      <c r="G256" s="200"/>
      <c r="H256" s="200">
        <v>332.62</v>
      </c>
      <c r="I256" s="200"/>
      <c r="J256" s="200"/>
      <c r="K256" s="200">
        <v>194.05</v>
      </c>
      <c r="L256" s="200"/>
      <c r="M256" s="200"/>
    </row>
    <row r="257" spans="1:13" x14ac:dyDescent="0.25">
      <c r="A257" s="164">
        <v>35400</v>
      </c>
      <c r="B257" s="200">
        <v>152.9</v>
      </c>
      <c r="C257" s="200"/>
      <c r="D257" s="200"/>
      <c r="E257" s="200">
        <v>157.1</v>
      </c>
      <c r="F257" s="200"/>
      <c r="G257" s="200"/>
      <c r="H257" s="200">
        <v>270.10000000000002</v>
      </c>
      <c r="I257" s="200"/>
      <c r="J257" s="200"/>
      <c r="K257" s="200">
        <v>212.06</v>
      </c>
      <c r="L257" s="200"/>
      <c r="M257" s="200"/>
    </row>
    <row r="258" spans="1:13" x14ac:dyDescent="0.25">
      <c r="A258" s="164">
        <v>35370</v>
      </c>
      <c r="B258" s="200">
        <v>250.82</v>
      </c>
      <c r="C258" s="200"/>
      <c r="D258" s="200"/>
      <c r="E258" s="200">
        <v>386.2</v>
      </c>
      <c r="F258" s="200"/>
      <c r="G258" s="200"/>
      <c r="H258" s="200">
        <v>447.5</v>
      </c>
      <c r="I258" s="200"/>
      <c r="J258" s="200"/>
      <c r="K258" s="200">
        <v>421.36</v>
      </c>
      <c r="L258" s="200"/>
      <c r="M258" s="200"/>
    </row>
    <row r="259" spans="1:13" x14ac:dyDescent="0.25">
      <c r="A259" s="164">
        <v>35339</v>
      </c>
      <c r="B259" s="200">
        <v>218.85</v>
      </c>
      <c r="C259" s="200"/>
      <c r="D259" s="200"/>
      <c r="E259" s="200">
        <v>155.5</v>
      </c>
      <c r="F259" s="200"/>
      <c r="G259" s="200"/>
      <c r="H259" s="200">
        <v>315.8</v>
      </c>
      <c r="I259" s="200"/>
      <c r="J259" s="200"/>
      <c r="K259" s="200">
        <v>249.01</v>
      </c>
      <c r="L259" s="200"/>
      <c r="M259" s="200"/>
    </row>
    <row r="260" spans="1:13" x14ac:dyDescent="0.25">
      <c r="A260" s="164">
        <v>35309</v>
      </c>
      <c r="B260" s="200">
        <v>302.48</v>
      </c>
      <c r="C260" s="200"/>
      <c r="D260" s="200"/>
      <c r="E260" s="200">
        <v>324</v>
      </c>
      <c r="F260" s="200"/>
      <c r="G260" s="200"/>
      <c r="H260" s="200">
        <v>281.8</v>
      </c>
      <c r="I260" s="200"/>
      <c r="J260" s="200"/>
      <c r="K260" s="200">
        <v>283.83</v>
      </c>
      <c r="L260" s="200"/>
      <c r="M260" s="200"/>
    </row>
    <row r="261" spans="1:13" x14ac:dyDescent="0.25">
      <c r="A261" s="164">
        <v>35278</v>
      </c>
      <c r="B261" s="200">
        <v>287.02</v>
      </c>
      <c r="C261" s="200"/>
      <c r="D261" s="200"/>
      <c r="E261" s="200">
        <v>278.5</v>
      </c>
      <c r="F261" s="200"/>
      <c r="G261" s="200"/>
      <c r="H261" s="200">
        <v>441.8</v>
      </c>
      <c r="I261" s="200"/>
      <c r="J261" s="200"/>
      <c r="K261" s="200">
        <v>201.79</v>
      </c>
      <c r="L261" s="200"/>
      <c r="M261" s="200"/>
    </row>
    <row r="262" spans="1:13" x14ac:dyDescent="0.25">
      <c r="A262" s="164">
        <v>35247</v>
      </c>
      <c r="B262" s="200">
        <v>261.52</v>
      </c>
      <c r="C262" s="200"/>
      <c r="D262" s="200"/>
      <c r="E262" s="200">
        <v>225.2</v>
      </c>
      <c r="F262" s="200"/>
      <c r="G262" s="200"/>
      <c r="H262" s="200">
        <v>282.2</v>
      </c>
      <c r="I262" s="200"/>
      <c r="J262" s="200"/>
      <c r="K262" s="200">
        <v>290.52</v>
      </c>
      <c r="L262" s="200"/>
      <c r="M262" s="200"/>
    </row>
    <row r="263" spans="1:13" x14ac:dyDescent="0.25">
      <c r="A263" s="164">
        <v>35217</v>
      </c>
      <c r="B263" s="200">
        <v>357.7</v>
      </c>
      <c r="C263" s="200"/>
      <c r="D263" s="200"/>
      <c r="E263" s="200">
        <v>421.46</v>
      </c>
      <c r="F263" s="200"/>
      <c r="G263" s="200"/>
      <c r="H263" s="200">
        <v>434.6</v>
      </c>
      <c r="I263" s="200"/>
      <c r="J263" s="200"/>
      <c r="K263" s="200">
        <v>225.79</v>
      </c>
      <c r="L263" s="200"/>
      <c r="M263" s="200"/>
    </row>
    <row r="264" spans="1:13" x14ac:dyDescent="0.25">
      <c r="A264" s="164">
        <v>35186</v>
      </c>
      <c r="B264" s="200">
        <v>278.7</v>
      </c>
      <c r="C264" s="200"/>
      <c r="D264" s="200"/>
      <c r="E264" s="200">
        <v>338</v>
      </c>
      <c r="F264" s="200"/>
      <c r="G264" s="200"/>
      <c r="H264" s="200">
        <v>402.7</v>
      </c>
      <c r="I264" s="200"/>
      <c r="J264" s="200"/>
      <c r="K264" s="200">
        <v>264.44</v>
      </c>
      <c r="L264" s="200"/>
      <c r="M264" s="200"/>
    </row>
    <row r="265" spans="1:13" x14ac:dyDescent="0.25">
      <c r="A265" s="164">
        <v>35156</v>
      </c>
      <c r="B265" s="200">
        <v>45.72</v>
      </c>
      <c r="C265" s="200"/>
      <c r="D265" s="200"/>
      <c r="E265" s="200">
        <v>37</v>
      </c>
      <c r="F265" s="200"/>
      <c r="G265" s="200"/>
      <c r="H265" s="200">
        <v>76.7</v>
      </c>
      <c r="I265" s="200"/>
      <c r="J265" s="200"/>
      <c r="K265" s="200">
        <v>85.91</v>
      </c>
      <c r="L265" s="200"/>
      <c r="M265" s="200"/>
    </row>
    <row r="266" spans="1:13" x14ac:dyDescent="0.25">
      <c r="A266" s="164">
        <v>35125</v>
      </c>
      <c r="B266" s="200">
        <v>21.4</v>
      </c>
      <c r="C266" s="200"/>
      <c r="D266" s="200"/>
      <c r="E266" s="200">
        <v>66.5</v>
      </c>
      <c r="F266" s="200"/>
      <c r="G266" s="200"/>
      <c r="H266" s="200">
        <v>82.8</v>
      </c>
      <c r="I266" s="200"/>
      <c r="J266" s="200"/>
      <c r="K266" s="200">
        <v>48.38</v>
      </c>
      <c r="L266" s="200"/>
      <c r="M266" s="200"/>
    </row>
    <row r="267" spans="1:13" x14ac:dyDescent="0.25">
      <c r="A267" s="164">
        <v>35096</v>
      </c>
      <c r="B267" s="200">
        <v>58.33</v>
      </c>
      <c r="C267" s="200"/>
      <c r="D267" s="200"/>
      <c r="E267" s="200">
        <v>103.6</v>
      </c>
      <c r="F267" s="200"/>
      <c r="G267" s="200"/>
      <c r="H267" s="200">
        <v>107.5</v>
      </c>
      <c r="I267" s="200"/>
      <c r="J267" s="200"/>
      <c r="K267" s="200">
        <v>42.28</v>
      </c>
      <c r="L267" s="200"/>
      <c r="M267" s="200"/>
    </row>
    <row r="268" spans="1:13" x14ac:dyDescent="0.25">
      <c r="A268" s="164">
        <v>35065</v>
      </c>
      <c r="B268" s="200">
        <v>70.83</v>
      </c>
      <c r="C268" s="200"/>
      <c r="D268" s="200"/>
      <c r="E268" s="200">
        <v>54.4</v>
      </c>
      <c r="F268" s="200"/>
      <c r="G268" s="200"/>
      <c r="H268" s="200">
        <v>168.08</v>
      </c>
      <c r="I268" s="200"/>
      <c r="J268" s="200"/>
      <c r="K268" s="200">
        <v>74.8</v>
      </c>
      <c r="L268" s="200"/>
      <c r="M268" s="200"/>
    </row>
    <row r="269" spans="1:13" x14ac:dyDescent="0.25">
      <c r="A269" s="164">
        <v>35034</v>
      </c>
      <c r="B269" s="200">
        <v>94.06</v>
      </c>
      <c r="C269" s="200"/>
      <c r="D269" s="200"/>
      <c r="E269" s="200">
        <v>110.6</v>
      </c>
      <c r="F269" s="200"/>
      <c r="G269" s="200"/>
      <c r="H269" s="200">
        <v>103.7</v>
      </c>
      <c r="I269" s="200"/>
      <c r="J269" s="200"/>
      <c r="K269" s="200">
        <v>117.35</v>
      </c>
      <c r="L269" s="200"/>
      <c r="M269" s="200"/>
    </row>
    <row r="270" spans="1:13" x14ac:dyDescent="0.25">
      <c r="A270" s="164">
        <v>35004</v>
      </c>
      <c r="B270" s="200">
        <v>179.2</v>
      </c>
      <c r="C270" s="200"/>
      <c r="D270" s="200"/>
      <c r="E270" s="200">
        <v>174.5</v>
      </c>
      <c r="F270" s="200"/>
      <c r="G270" s="200"/>
      <c r="H270" s="200">
        <v>211.3</v>
      </c>
      <c r="I270" s="200"/>
      <c r="J270" s="200"/>
      <c r="K270" s="200">
        <v>132.1</v>
      </c>
      <c r="L270" s="200"/>
      <c r="M270" s="200"/>
    </row>
    <row r="271" spans="1:13" x14ac:dyDescent="0.25">
      <c r="A271" s="164">
        <v>34973</v>
      </c>
      <c r="B271" s="200">
        <v>125.3</v>
      </c>
      <c r="C271" s="200"/>
      <c r="D271" s="200"/>
      <c r="E271" s="200">
        <v>151.5</v>
      </c>
      <c r="F271" s="200"/>
      <c r="G271" s="200"/>
      <c r="H271" s="200">
        <v>245.85</v>
      </c>
      <c r="I271" s="200"/>
      <c r="J271" s="200"/>
      <c r="K271" s="200">
        <v>313</v>
      </c>
      <c r="L271" s="200"/>
      <c r="M271" s="200"/>
    </row>
    <row r="272" spans="1:13" x14ac:dyDescent="0.25">
      <c r="A272" s="164">
        <v>34943</v>
      </c>
      <c r="B272" s="200">
        <v>93.21</v>
      </c>
      <c r="C272" s="200"/>
      <c r="D272" s="200"/>
      <c r="E272" s="200">
        <v>98.5</v>
      </c>
      <c r="F272" s="200"/>
      <c r="G272" s="200"/>
      <c r="H272" s="200">
        <v>159.69999999999999</v>
      </c>
      <c r="I272" s="200"/>
      <c r="J272" s="200"/>
      <c r="K272" s="200">
        <v>146.76</v>
      </c>
      <c r="L272" s="200"/>
      <c r="M272" s="200"/>
    </row>
    <row r="273" spans="1:13" x14ac:dyDescent="0.25">
      <c r="A273" s="164">
        <v>34912</v>
      </c>
      <c r="B273" s="200">
        <v>182.6</v>
      </c>
      <c r="C273" s="200"/>
      <c r="D273" s="200"/>
      <c r="E273" s="200">
        <v>219</v>
      </c>
      <c r="F273" s="200"/>
      <c r="G273" s="200"/>
      <c r="H273" s="200">
        <v>416.8</v>
      </c>
      <c r="I273" s="200"/>
      <c r="J273" s="200"/>
      <c r="K273" s="200">
        <v>275.54000000000002</v>
      </c>
      <c r="L273" s="200"/>
      <c r="M273" s="200"/>
    </row>
    <row r="274" spans="1:13" x14ac:dyDescent="0.25">
      <c r="A274" s="164">
        <v>34881</v>
      </c>
      <c r="B274" s="200">
        <v>402.7</v>
      </c>
      <c r="C274" s="200"/>
      <c r="D274" s="200"/>
      <c r="E274" s="200">
        <v>183.9</v>
      </c>
      <c r="F274" s="200"/>
      <c r="G274" s="200"/>
      <c r="H274" s="200">
        <v>367.9</v>
      </c>
      <c r="I274" s="200"/>
      <c r="J274" s="200"/>
      <c r="K274" s="200">
        <v>163.53</v>
      </c>
      <c r="L274" s="200"/>
      <c r="M274" s="200"/>
    </row>
    <row r="275" spans="1:13" x14ac:dyDescent="0.25">
      <c r="A275" s="164">
        <v>34851</v>
      </c>
      <c r="B275" s="200">
        <v>243.32</v>
      </c>
      <c r="C275" s="200"/>
      <c r="D275" s="200"/>
      <c r="E275" s="200">
        <v>266.10000000000002</v>
      </c>
      <c r="F275" s="200"/>
      <c r="G275" s="200"/>
      <c r="H275" s="200">
        <v>327.2</v>
      </c>
      <c r="I275" s="200"/>
      <c r="J275" s="200"/>
      <c r="K275" s="200">
        <v>176.04</v>
      </c>
      <c r="L275" s="200"/>
      <c r="M275" s="200"/>
    </row>
    <row r="276" spans="1:13" x14ac:dyDescent="0.25">
      <c r="A276" s="164">
        <v>34820</v>
      </c>
      <c r="B276" s="200">
        <v>90.65</v>
      </c>
      <c r="C276" s="200"/>
      <c r="D276" s="200"/>
      <c r="E276" s="200">
        <v>79.3</v>
      </c>
      <c r="F276" s="200"/>
      <c r="G276" s="200"/>
      <c r="H276" s="200">
        <v>38.799999999999997</v>
      </c>
      <c r="I276" s="200"/>
      <c r="J276" s="200"/>
      <c r="K276" s="200">
        <v>34.97</v>
      </c>
      <c r="L276" s="200"/>
      <c r="M276" s="200"/>
    </row>
    <row r="277" spans="1:13" x14ac:dyDescent="0.25">
      <c r="A277" s="164">
        <v>34790</v>
      </c>
      <c r="B277" s="200">
        <v>68.069999999999993</v>
      </c>
      <c r="C277" s="200"/>
      <c r="D277" s="200"/>
      <c r="E277" s="200">
        <v>106.5</v>
      </c>
      <c r="F277" s="200"/>
      <c r="G277" s="200"/>
      <c r="H277" s="200">
        <v>38.9</v>
      </c>
      <c r="I277" s="200"/>
      <c r="J277" s="200"/>
      <c r="K277" s="200">
        <v>51.95</v>
      </c>
      <c r="L277" s="200"/>
      <c r="M277" s="200"/>
    </row>
    <row r="278" spans="1:13" x14ac:dyDescent="0.25">
      <c r="A278" s="164">
        <v>34759</v>
      </c>
      <c r="B278" s="200">
        <v>17.02</v>
      </c>
      <c r="C278" s="200"/>
      <c r="D278" s="200"/>
      <c r="E278" s="200">
        <v>40.299999999999997</v>
      </c>
      <c r="F278" s="200"/>
      <c r="G278" s="200"/>
      <c r="H278" s="200">
        <v>84.2</v>
      </c>
      <c r="I278" s="200"/>
      <c r="J278" s="200"/>
      <c r="K278" s="200">
        <v>58.12</v>
      </c>
      <c r="L278" s="200"/>
      <c r="M278" s="200"/>
    </row>
    <row r="279" spans="1:13" x14ac:dyDescent="0.25">
      <c r="A279" s="164">
        <v>34731</v>
      </c>
      <c r="B279" s="200">
        <v>39.869999999999997</v>
      </c>
      <c r="C279" s="200"/>
      <c r="D279" s="200"/>
      <c r="E279" s="200">
        <v>25</v>
      </c>
      <c r="F279" s="200"/>
      <c r="G279" s="200"/>
      <c r="H279" s="200">
        <v>39.299999999999997</v>
      </c>
      <c r="I279" s="200"/>
      <c r="J279" s="200"/>
      <c r="K279" s="200">
        <v>44.23</v>
      </c>
      <c r="L279" s="200"/>
      <c r="M279" s="200"/>
    </row>
    <row r="280" spans="1:13" x14ac:dyDescent="0.25">
      <c r="A280" s="164">
        <v>34700</v>
      </c>
      <c r="B280" s="200">
        <v>89.91</v>
      </c>
      <c r="C280" s="200"/>
      <c r="D280" s="200"/>
      <c r="E280" s="200">
        <v>50</v>
      </c>
      <c r="F280" s="200"/>
      <c r="G280" s="200"/>
      <c r="H280" s="200">
        <v>73.45</v>
      </c>
      <c r="I280" s="200"/>
      <c r="J280" s="200"/>
      <c r="K280" s="200">
        <v>34.42</v>
      </c>
      <c r="L280" s="200"/>
      <c r="M280" s="200"/>
    </row>
    <row r="281" spans="1:13" x14ac:dyDescent="0.25">
      <c r="A281" s="164">
        <v>34669</v>
      </c>
      <c r="B281" s="200">
        <v>203.779</v>
      </c>
      <c r="C281" s="200"/>
      <c r="D281" s="200"/>
      <c r="E281" s="200">
        <v>245.935</v>
      </c>
      <c r="F281" s="200"/>
      <c r="G281" s="200"/>
      <c r="H281" s="200">
        <v>277.79499999999996</v>
      </c>
      <c r="I281" s="200"/>
      <c r="J281" s="200"/>
      <c r="K281" s="200">
        <v>237.80099999999999</v>
      </c>
      <c r="L281" s="200"/>
      <c r="M281" s="200"/>
    </row>
    <row r="282" spans="1:13" x14ac:dyDescent="0.25">
      <c r="A282" s="164">
        <v>34639</v>
      </c>
      <c r="B282" s="200">
        <v>305.94599999999997</v>
      </c>
      <c r="C282" s="200"/>
      <c r="D282" s="200"/>
      <c r="E282" s="200">
        <v>319.79399999999998</v>
      </c>
      <c r="F282" s="200"/>
      <c r="G282" s="200"/>
      <c r="H282" s="200">
        <v>375.762</v>
      </c>
      <c r="I282" s="200"/>
      <c r="J282" s="200"/>
      <c r="K282" s="200">
        <v>338.02100000000002</v>
      </c>
      <c r="L282" s="200"/>
      <c r="M282" s="200"/>
    </row>
    <row r="283" spans="1:13" x14ac:dyDescent="0.25">
      <c r="A283" s="164">
        <v>34608</v>
      </c>
      <c r="B283" s="200">
        <v>197.58699999999996</v>
      </c>
      <c r="C283" s="200"/>
      <c r="D283" s="200"/>
      <c r="E283" s="200">
        <v>231.19499999999999</v>
      </c>
      <c r="F283" s="200"/>
      <c r="G283" s="200"/>
      <c r="H283" s="200">
        <v>276.60500000000002</v>
      </c>
      <c r="I283" s="200"/>
      <c r="J283" s="200"/>
      <c r="K283" s="200">
        <v>270.57499999999999</v>
      </c>
      <c r="L283" s="200"/>
      <c r="M283" s="200"/>
    </row>
    <row r="284" spans="1:13" x14ac:dyDescent="0.25">
      <c r="A284" s="164">
        <v>34578</v>
      </c>
      <c r="B284" s="200">
        <v>195.33800000000002</v>
      </c>
      <c r="C284" s="200"/>
      <c r="D284" s="200"/>
      <c r="E284" s="200">
        <v>224.12700000000001</v>
      </c>
      <c r="F284" s="200"/>
      <c r="G284" s="200"/>
      <c r="H284" s="200">
        <v>260.28499999999997</v>
      </c>
      <c r="I284" s="200"/>
      <c r="J284" s="200"/>
      <c r="K284" s="200">
        <v>230.55799999999999</v>
      </c>
      <c r="L284" s="200"/>
      <c r="M284" s="200"/>
    </row>
    <row r="285" spans="1:13" x14ac:dyDescent="0.25">
      <c r="A285" s="164">
        <v>34547</v>
      </c>
      <c r="B285" s="200">
        <v>212.78200000000001</v>
      </c>
      <c r="C285" s="200"/>
      <c r="D285" s="200"/>
      <c r="E285" s="200">
        <v>237.43599999999998</v>
      </c>
      <c r="F285" s="200"/>
      <c r="G285" s="200"/>
      <c r="H285" s="200">
        <v>361.49</v>
      </c>
      <c r="I285" s="200"/>
      <c r="J285" s="200"/>
      <c r="K285" s="200">
        <v>239.93099999999998</v>
      </c>
      <c r="L285" s="200"/>
      <c r="M285" s="200"/>
    </row>
    <row r="286" spans="1:13" x14ac:dyDescent="0.25">
      <c r="A286" s="164">
        <v>34516</v>
      </c>
      <c r="B286" s="200">
        <v>273.10199999999998</v>
      </c>
      <c r="C286" s="200"/>
      <c r="D286" s="200"/>
      <c r="E286" s="200">
        <v>264.149</v>
      </c>
      <c r="F286" s="200"/>
      <c r="G286" s="200"/>
      <c r="H286" s="200">
        <v>328.42</v>
      </c>
      <c r="I286" s="200"/>
      <c r="J286" s="200"/>
      <c r="K286" s="200">
        <v>217.154</v>
      </c>
      <c r="L286" s="200"/>
      <c r="M286" s="200"/>
    </row>
    <row r="287" spans="1:13" x14ac:dyDescent="0.25">
      <c r="A287" s="164">
        <v>34486</v>
      </c>
      <c r="B287" s="200">
        <v>304.596</v>
      </c>
      <c r="C287" s="200"/>
      <c r="D287" s="200"/>
      <c r="E287" s="200">
        <v>340.23300000000006</v>
      </c>
      <c r="F287" s="200"/>
      <c r="G287" s="200"/>
      <c r="H287" s="200">
        <v>355.404</v>
      </c>
      <c r="I287" s="200"/>
      <c r="J287" s="200"/>
      <c r="K287" s="200">
        <v>248.28699999999998</v>
      </c>
      <c r="L287" s="200"/>
      <c r="M287" s="200"/>
    </row>
    <row r="288" spans="1:13" x14ac:dyDescent="0.25">
      <c r="A288" s="164">
        <v>34455</v>
      </c>
      <c r="B288" s="200">
        <v>143.96200000000002</v>
      </c>
      <c r="C288" s="200"/>
      <c r="D288" s="200"/>
      <c r="E288" s="200">
        <v>165.1</v>
      </c>
      <c r="F288" s="200"/>
      <c r="G288" s="200"/>
      <c r="H288" s="200">
        <v>195.16</v>
      </c>
      <c r="I288" s="200"/>
      <c r="J288" s="200"/>
      <c r="K288" s="200">
        <v>153.43400000000003</v>
      </c>
      <c r="L288" s="200"/>
      <c r="M288" s="200"/>
    </row>
    <row r="289" spans="1:13" x14ac:dyDescent="0.25">
      <c r="A289" s="164">
        <v>34425</v>
      </c>
      <c r="B289" s="200">
        <v>79.423000000000002</v>
      </c>
      <c r="C289" s="200"/>
      <c r="D289" s="200"/>
      <c r="E289" s="200">
        <v>85.094999999999999</v>
      </c>
      <c r="F289" s="200"/>
      <c r="G289" s="200"/>
      <c r="H289" s="200">
        <v>126.18100000000001</v>
      </c>
      <c r="I289" s="200"/>
      <c r="J289" s="200"/>
      <c r="K289" s="200">
        <v>73.50800000000001</v>
      </c>
      <c r="L289" s="200"/>
      <c r="M289" s="200"/>
    </row>
    <row r="290" spans="1:13" x14ac:dyDescent="0.25">
      <c r="A290" s="164">
        <v>34394</v>
      </c>
      <c r="B290" s="200">
        <v>40.501999999999995</v>
      </c>
      <c r="C290" s="200"/>
      <c r="D290" s="200"/>
      <c r="E290" s="200">
        <v>62.063000000000002</v>
      </c>
      <c r="F290" s="200"/>
      <c r="G290" s="200"/>
      <c r="H290" s="200">
        <v>84.786333333333332</v>
      </c>
      <c r="I290" s="200"/>
      <c r="J290" s="200"/>
      <c r="K290" s="200">
        <v>56.863</v>
      </c>
      <c r="L290" s="200"/>
      <c r="M290" s="200"/>
    </row>
    <row r="291" spans="1:13" x14ac:dyDescent="0.25">
      <c r="A291" s="164">
        <v>34366</v>
      </c>
      <c r="B291" s="200">
        <v>75.263000000000005</v>
      </c>
      <c r="C291" s="200"/>
      <c r="D291" s="200"/>
      <c r="E291" s="200">
        <v>76.695000000000007</v>
      </c>
      <c r="F291" s="200"/>
      <c r="G291" s="200"/>
      <c r="H291" s="200">
        <v>85.700999999999993</v>
      </c>
      <c r="I291" s="200"/>
      <c r="J291" s="200"/>
      <c r="K291" s="200">
        <v>61.203999999999994</v>
      </c>
      <c r="L291" s="200"/>
      <c r="M291" s="200"/>
    </row>
    <row r="292" spans="1:13" x14ac:dyDescent="0.25">
      <c r="A292" s="164">
        <v>34335</v>
      </c>
      <c r="B292" s="200">
        <v>101.542</v>
      </c>
      <c r="C292" s="200"/>
      <c r="D292" s="200"/>
      <c r="E292" s="200">
        <v>123.15500000000002</v>
      </c>
      <c r="F292" s="200"/>
      <c r="G292" s="200"/>
      <c r="H292" s="200">
        <v>163.76499999999999</v>
      </c>
      <c r="I292" s="200"/>
      <c r="J292" s="200"/>
      <c r="K292" s="200">
        <v>105.88100000000001</v>
      </c>
      <c r="L292" s="200"/>
      <c r="M292" s="200"/>
    </row>
  </sheetData>
  <sortState ref="A2:E271">
    <sortCondition descending="1" ref="A2:A271"/>
  </sortState>
  <mergeCells count="5">
    <mergeCell ref="B1:D1"/>
    <mergeCell ref="E1:G1"/>
    <mergeCell ref="H1:J1"/>
    <mergeCell ref="K1:M1"/>
    <mergeCell ref="A1:A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HistRainfa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838200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8"/>
  <sheetViews>
    <sheetView workbookViewId="0">
      <selection activeCell="A2" sqref="A2:A13"/>
    </sheetView>
  </sheetViews>
  <sheetFormatPr defaultColWidth="13.7109375" defaultRowHeight="12.75" x14ac:dyDescent="0.2"/>
  <cols>
    <col min="1" max="16384" width="13.7109375" style="169"/>
  </cols>
  <sheetData>
    <row r="1" spans="1:12" x14ac:dyDescent="0.2">
      <c r="B1" s="169" t="s">
        <v>90</v>
      </c>
      <c r="C1" s="176" t="s">
        <v>91</v>
      </c>
      <c r="D1" s="176" t="s">
        <v>71</v>
      </c>
      <c r="E1" s="176" t="s">
        <v>72</v>
      </c>
      <c r="F1" s="176" t="s">
        <v>73</v>
      </c>
      <c r="G1" s="177" t="s">
        <v>91</v>
      </c>
      <c r="H1" s="177" t="s">
        <v>71</v>
      </c>
      <c r="I1" s="177" t="s">
        <v>72</v>
      </c>
      <c r="J1" s="177" t="s">
        <v>73</v>
      </c>
    </row>
    <row r="2" spans="1:12" x14ac:dyDescent="0.2">
      <c r="A2" s="29" t="s">
        <v>4</v>
      </c>
      <c r="B2" s="173">
        <v>31</v>
      </c>
      <c r="C2" s="174">
        <v>4.5290322580645156E-3</v>
      </c>
      <c r="D2" s="174">
        <v>2.8322580645161292E-3</v>
      </c>
      <c r="E2" s="174">
        <v>2.4258064516129033E-3</v>
      </c>
      <c r="F2" s="175">
        <v>3.4225806451612904E-3</v>
      </c>
      <c r="G2" s="207">
        <f>$B2*C2</f>
        <v>0.1404</v>
      </c>
      <c r="H2" s="207">
        <f t="shared" ref="H2:J13" si="0">$B2*D2</f>
        <v>8.7800000000000003E-2</v>
      </c>
      <c r="I2" s="207">
        <f t="shared" si="0"/>
        <v>7.5200000000000003E-2</v>
      </c>
      <c r="J2" s="207">
        <f t="shared" si="0"/>
        <v>0.1061</v>
      </c>
      <c r="L2" s="208">
        <f>I2*1000</f>
        <v>75.2</v>
      </c>
    </row>
    <row r="3" spans="1:12" x14ac:dyDescent="0.2">
      <c r="A3" s="29" t="s">
        <v>5</v>
      </c>
      <c r="B3" s="173">
        <v>28</v>
      </c>
      <c r="C3" s="174">
        <v>4.5999999999999999E-3</v>
      </c>
      <c r="D3" s="174">
        <v>3.0275862068965516E-3</v>
      </c>
      <c r="E3" s="174">
        <v>3.2827586206896553E-3</v>
      </c>
      <c r="F3" s="175">
        <v>3.6213793103448276E-3</v>
      </c>
      <c r="G3" s="207">
        <f t="shared" ref="G3:G13" si="1">$B3*C3</f>
        <v>0.1288</v>
      </c>
      <c r="H3" s="207">
        <f t="shared" si="0"/>
        <v>8.4772413793103449E-2</v>
      </c>
      <c r="I3" s="207">
        <f t="shared" si="0"/>
        <v>9.1917241379310344E-2</v>
      </c>
      <c r="J3" s="207">
        <f t="shared" si="0"/>
        <v>0.10139862068965518</v>
      </c>
      <c r="L3" s="208">
        <f t="shared" ref="L3:L13" si="2">I3*1000</f>
        <v>91.91724137931034</v>
      </c>
    </row>
    <row r="4" spans="1:12" x14ac:dyDescent="0.2">
      <c r="A4" s="29" t="s">
        <v>6</v>
      </c>
      <c r="B4" s="173">
        <v>31</v>
      </c>
      <c r="C4" s="174">
        <v>5.3516129032258062E-3</v>
      </c>
      <c r="D4" s="174">
        <v>3.0419354838709676E-3</v>
      </c>
      <c r="E4" s="174">
        <v>3.0774193548387097E-3</v>
      </c>
      <c r="F4" s="175">
        <v>4.1703225806451619E-3</v>
      </c>
      <c r="G4" s="207">
        <f t="shared" si="1"/>
        <v>0.16589999999999999</v>
      </c>
      <c r="H4" s="207">
        <f t="shared" si="0"/>
        <v>9.4299999999999995E-2</v>
      </c>
      <c r="I4" s="207">
        <f t="shared" si="0"/>
        <v>9.5399999999999999E-2</v>
      </c>
      <c r="J4" s="207">
        <f t="shared" si="0"/>
        <v>0.12928000000000001</v>
      </c>
      <c r="L4" s="208">
        <f t="shared" si="2"/>
        <v>95.4</v>
      </c>
    </row>
    <row r="5" spans="1:12" x14ac:dyDescent="0.2">
      <c r="A5" s="29" t="s">
        <v>7</v>
      </c>
      <c r="B5" s="173">
        <v>30</v>
      </c>
      <c r="C5" s="174">
        <v>6.4753333333333329E-3</v>
      </c>
      <c r="D5" s="174">
        <v>3.6966666666666667E-3</v>
      </c>
      <c r="E5" s="174">
        <v>3.2466666666666668E-3</v>
      </c>
      <c r="F5" s="175">
        <v>4.6093333333333325E-3</v>
      </c>
      <c r="G5" s="207">
        <f t="shared" si="1"/>
        <v>0.19425999999999999</v>
      </c>
      <c r="H5" s="207">
        <f t="shared" si="0"/>
        <v>0.1109</v>
      </c>
      <c r="I5" s="207">
        <f t="shared" si="0"/>
        <v>9.74E-2</v>
      </c>
      <c r="J5" s="207">
        <f t="shared" si="0"/>
        <v>0.13827999999999999</v>
      </c>
      <c r="L5" s="208">
        <f t="shared" si="2"/>
        <v>97.4</v>
      </c>
    </row>
    <row r="6" spans="1:12" x14ac:dyDescent="0.2">
      <c r="A6" s="29" t="s">
        <v>2</v>
      </c>
      <c r="B6" s="173">
        <v>31</v>
      </c>
      <c r="C6" s="174">
        <v>6.4780645161290323E-3</v>
      </c>
      <c r="D6" s="174">
        <v>3.8806451612903225E-3</v>
      </c>
      <c r="E6" s="174">
        <v>3.0903225806451612E-3</v>
      </c>
      <c r="F6" s="175">
        <v>4.5322580645161294E-3</v>
      </c>
      <c r="G6" s="207">
        <f t="shared" si="1"/>
        <v>0.20082</v>
      </c>
      <c r="H6" s="207">
        <f t="shared" si="0"/>
        <v>0.1203</v>
      </c>
      <c r="I6" s="207">
        <f t="shared" si="0"/>
        <v>9.5799999999999996E-2</v>
      </c>
      <c r="J6" s="207">
        <f t="shared" si="0"/>
        <v>0.14050000000000001</v>
      </c>
      <c r="L6" s="208">
        <f t="shared" si="2"/>
        <v>95.8</v>
      </c>
    </row>
    <row r="7" spans="1:12" x14ac:dyDescent="0.2">
      <c r="A7" s="29" t="s">
        <v>8</v>
      </c>
      <c r="B7" s="173">
        <v>30</v>
      </c>
      <c r="C7" s="174">
        <v>4.1146666666666666E-3</v>
      </c>
      <c r="D7" s="174">
        <v>3.2766666666666664E-3</v>
      </c>
      <c r="E7" s="174">
        <v>2.8300000000000001E-3</v>
      </c>
      <c r="F7" s="175">
        <v>3.8300000000000001E-3</v>
      </c>
      <c r="G7" s="207">
        <f t="shared" si="1"/>
        <v>0.12343999999999999</v>
      </c>
      <c r="H7" s="207">
        <f t="shared" si="0"/>
        <v>9.8299999999999998E-2</v>
      </c>
      <c r="I7" s="207">
        <f t="shared" si="0"/>
        <v>8.4900000000000003E-2</v>
      </c>
      <c r="J7" s="207">
        <f t="shared" si="0"/>
        <v>0.1149</v>
      </c>
      <c r="L7" s="208">
        <f t="shared" si="2"/>
        <v>84.9</v>
      </c>
    </row>
    <row r="8" spans="1:12" x14ac:dyDescent="0.2">
      <c r="A8" s="29" t="s">
        <v>9</v>
      </c>
      <c r="B8" s="173">
        <v>31</v>
      </c>
      <c r="C8" s="174">
        <v>4.0703225806451608E-3</v>
      </c>
      <c r="D8" s="174">
        <v>3.1741935483870967E-3</v>
      </c>
      <c r="E8" s="174">
        <v>2.854838709677419E-3</v>
      </c>
      <c r="F8" s="175">
        <v>3.7464516129032256E-3</v>
      </c>
      <c r="G8" s="207">
        <f t="shared" si="1"/>
        <v>0.12617999999999999</v>
      </c>
      <c r="H8" s="207">
        <f t="shared" si="0"/>
        <v>9.8400000000000001E-2</v>
      </c>
      <c r="I8" s="207">
        <f t="shared" si="0"/>
        <v>8.8499999999999995E-2</v>
      </c>
      <c r="J8" s="207">
        <f t="shared" si="0"/>
        <v>0.11613999999999999</v>
      </c>
      <c r="L8" s="208">
        <f t="shared" si="2"/>
        <v>88.5</v>
      </c>
    </row>
    <row r="9" spans="1:12" x14ac:dyDescent="0.2">
      <c r="A9" s="29" t="s">
        <v>11</v>
      </c>
      <c r="B9" s="173">
        <v>31</v>
      </c>
      <c r="C9" s="174">
        <v>3.4322580645161286E-3</v>
      </c>
      <c r="D9" s="174">
        <v>3.3967741935483874E-3</v>
      </c>
      <c r="E9" s="174">
        <v>3.1387096774193549E-3</v>
      </c>
      <c r="F9" s="175">
        <v>3.7987096774193549E-3</v>
      </c>
      <c r="G9" s="207">
        <f t="shared" si="1"/>
        <v>0.10639999999999999</v>
      </c>
      <c r="H9" s="207">
        <f t="shared" si="0"/>
        <v>0.1053</v>
      </c>
      <c r="I9" s="207">
        <f t="shared" si="0"/>
        <v>9.7299999999999998E-2</v>
      </c>
      <c r="J9" s="207">
        <f t="shared" si="0"/>
        <v>0.11776</v>
      </c>
      <c r="L9" s="208">
        <f t="shared" si="2"/>
        <v>97.3</v>
      </c>
    </row>
    <row r="10" spans="1:12" x14ac:dyDescent="0.2">
      <c r="A10" s="29" t="s">
        <v>12</v>
      </c>
      <c r="B10" s="173">
        <v>30</v>
      </c>
      <c r="C10" s="174">
        <v>4.5306666666666672E-3</v>
      </c>
      <c r="D10" s="174">
        <v>3.0533333333333332E-3</v>
      </c>
      <c r="E10" s="174">
        <v>2.9433333333333334E-3</v>
      </c>
      <c r="F10" s="175">
        <v>3.803333333333333E-3</v>
      </c>
      <c r="G10" s="207">
        <f t="shared" si="1"/>
        <v>0.13592000000000001</v>
      </c>
      <c r="H10" s="207">
        <f t="shared" si="0"/>
        <v>9.1600000000000001E-2</v>
      </c>
      <c r="I10" s="207">
        <f t="shared" si="0"/>
        <v>8.8300000000000003E-2</v>
      </c>
      <c r="J10" s="207">
        <f t="shared" si="0"/>
        <v>0.11409999999999999</v>
      </c>
      <c r="L10" s="208">
        <f t="shared" si="2"/>
        <v>88.3</v>
      </c>
    </row>
    <row r="11" spans="1:12" x14ac:dyDescent="0.2">
      <c r="A11" s="29" t="s">
        <v>13</v>
      </c>
      <c r="B11" s="173">
        <v>31</v>
      </c>
      <c r="C11" s="174">
        <v>3.6019354838709677E-3</v>
      </c>
      <c r="D11" s="174">
        <v>3.1096774193548385E-3</v>
      </c>
      <c r="E11" s="174">
        <v>2.5161290322580645E-3</v>
      </c>
      <c r="F11" s="175">
        <v>3.3587096774193551E-3</v>
      </c>
      <c r="G11" s="207">
        <f t="shared" si="1"/>
        <v>0.11166</v>
      </c>
      <c r="H11" s="207">
        <f t="shared" si="0"/>
        <v>9.64E-2</v>
      </c>
      <c r="I11" s="207">
        <f t="shared" si="0"/>
        <v>7.8E-2</v>
      </c>
      <c r="J11" s="207">
        <f t="shared" si="0"/>
        <v>0.10412</v>
      </c>
      <c r="L11" s="208">
        <f t="shared" si="2"/>
        <v>78</v>
      </c>
    </row>
    <row r="12" spans="1:12" x14ac:dyDescent="0.2">
      <c r="A12" s="29" t="s">
        <v>14</v>
      </c>
      <c r="B12" s="173">
        <v>30</v>
      </c>
      <c r="C12" s="174">
        <v>3.9579999999999997E-3</v>
      </c>
      <c r="D12" s="174">
        <v>2.8966666666666667E-3</v>
      </c>
      <c r="E12" s="174">
        <v>2.8999999999999998E-3</v>
      </c>
      <c r="F12" s="175">
        <v>3.0913333333333335E-3</v>
      </c>
      <c r="G12" s="207">
        <f t="shared" si="1"/>
        <v>0.11873999999999998</v>
      </c>
      <c r="H12" s="207">
        <f t="shared" si="0"/>
        <v>8.6900000000000005E-2</v>
      </c>
      <c r="I12" s="207">
        <f t="shared" si="0"/>
        <v>8.6999999999999994E-2</v>
      </c>
      <c r="J12" s="207">
        <f t="shared" si="0"/>
        <v>9.2740000000000003E-2</v>
      </c>
      <c r="L12" s="208">
        <f t="shared" si="2"/>
        <v>87</v>
      </c>
    </row>
    <row r="13" spans="1:12" x14ac:dyDescent="0.2">
      <c r="A13" s="29" t="s">
        <v>3</v>
      </c>
      <c r="B13" s="173">
        <v>31</v>
      </c>
      <c r="C13" s="174">
        <v>3.4329032258064518E-3</v>
      </c>
      <c r="D13" s="174">
        <v>2.8741935483870967E-3</v>
      </c>
      <c r="E13" s="174">
        <v>2.4161290322580642E-3</v>
      </c>
      <c r="F13" s="178">
        <v>3.1664516129032258E-3</v>
      </c>
      <c r="G13" s="207">
        <f t="shared" si="1"/>
        <v>0.10642</v>
      </c>
      <c r="H13" s="207">
        <f t="shared" si="0"/>
        <v>8.9099999999999999E-2</v>
      </c>
      <c r="I13" s="207">
        <f t="shared" si="0"/>
        <v>7.4899999999999994E-2</v>
      </c>
      <c r="J13" s="207">
        <f t="shared" si="0"/>
        <v>9.8159999999999997E-2</v>
      </c>
      <c r="L13" s="208">
        <f t="shared" si="2"/>
        <v>74.899999999999991</v>
      </c>
    </row>
    <row r="14" spans="1:12" x14ac:dyDescent="0.2">
      <c r="G14" s="172">
        <f>SUM(G2:G13)*1000</f>
        <v>1658.94</v>
      </c>
      <c r="H14" s="172">
        <f t="shared" ref="H14:J14" si="3">SUM(H2:H13)*1000</f>
        <v>1164.0724137931036</v>
      </c>
      <c r="I14" s="172">
        <f t="shared" si="3"/>
        <v>1054.6172413793104</v>
      </c>
      <c r="J14" s="172">
        <f t="shared" si="3"/>
        <v>1373.4786206896554</v>
      </c>
    </row>
    <row r="17" spans="2:5" x14ac:dyDescent="0.2">
      <c r="B17" s="170" t="s">
        <v>91</v>
      </c>
      <c r="C17" s="170" t="s">
        <v>71</v>
      </c>
      <c r="D17" s="170" t="s">
        <v>72</v>
      </c>
      <c r="E17" s="170" t="s">
        <v>73</v>
      </c>
    </row>
    <row r="18" spans="2:5" x14ac:dyDescent="0.2">
      <c r="B18" s="171">
        <v>1658.94</v>
      </c>
      <c r="C18" s="171">
        <v>1164.0724137931036</v>
      </c>
      <c r="D18" s="171">
        <v>1054.6172413793104</v>
      </c>
      <c r="E18" s="171">
        <v>1373.4786206896554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Rainfall Graphs</vt:lpstr>
      <vt:lpstr>Caroni </vt:lpstr>
      <vt:lpstr>Navet </vt:lpstr>
      <vt:lpstr>Hollis </vt:lpstr>
      <vt:lpstr>Hillsborough </vt:lpstr>
      <vt:lpstr>Summary</vt:lpstr>
      <vt:lpstr>HistRainfall</vt:lpstr>
      <vt:lpstr>Evap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Kevan Lee Lum</dc:creator>
  <cp:lastModifiedBy>Kevan Lee Lum</cp:lastModifiedBy>
  <cp:lastPrinted>2016-02-29T16:13:13Z</cp:lastPrinted>
  <dcterms:created xsi:type="dcterms:W3CDTF">2011-08-09T17:38:42Z</dcterms:created>
  <dcterms:modified xsi:type="dcterms:W3CDTF">2018-03-08T17:12:12Z</dcterms:modified>
</cp:coreProperties>
</file>